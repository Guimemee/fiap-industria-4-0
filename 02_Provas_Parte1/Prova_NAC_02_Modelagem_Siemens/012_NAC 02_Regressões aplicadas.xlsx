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po\Desktop\"/>
    </mc:Choice>
  </mc:AlternateContent>
  <xr:revisionPtr revIDLastSave="0" documentId="13_ncr:1_{6979C1E3-0805-4CFF-9716-79CDD727F1EC}" xr6:coauthVersionLast="43" xr6:coauthVersionMax="43" xr10:uidLastSave="{00000000-0000-0000-0000-000000000000}"/>
  <bookViews>
    <workbookView xWindow="-120" yWindow="-120" windowWidth="29040" windowHeight="15840" xr2:uid="{46BF30E9-0D4F-4985-B295-E19D4EA9B1DD}"/>
  </bookViews>
  <sheets>
    <sheet name="Correção Modelo 1" sheetId="1" r:id="rId1"/>
    <sheet name="Correção Modelo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88" i="2" l="1"/>
  <c r="T87" i="2"/>
  <c r="J88" i="2"/>
  <c r="J87" i="2"/>
  <c r="T67" i="2"/>
  <c r="T66" i="2"/>
  <c r="J67" i="2"/>
  <c r="J66" i="2"/>
  <c r="T45" i="2"/>
  <c r="T44" i="2"/>
  <c r="J45" i="2"/>
  <c r="J44" i="2"/>
  <c r="T21" i="2"/>
  <c r="T20" i="2"/>
  <c r="J21" i="2"/>
  <c r="J20" i="2"/>
  <c r="U102" i="1"/>
  <c r="U101" i="1"/>
  <c r="J103" i="1"/>
  <c r="J102" i="1"/>
  <c r="U76" i="1"/>
  <c r="U75" i="1"/>
  <c r="J77" i="1"/>
  <c r="J76" i="1"/>
  <c r="V50" i="1"/>
  <c r="V49" i="1"/>
  <c r="J51" i="1"/>
  <c r="J50" i="1"/>
  <c r="U23" i="1"/>
  <c r="U22" i="1"/>
  <c r="J23" i="1"/>
  <c r="J22" i="1"/>
</calcChain>
</file>

<file path=xl/sharedStrings.xml><?xml version="1.0" encoding="utf-8"?>
<sst xmlns="http://schemas.openxmlformats.org/spreadsheetml/2006/main" count="12" uniqueCount="3">
  <si>
    <t>Meses</t>
  </si>
  <si>
    <t>Empresa 1 (1.000.000)</t>
  </si>
  <si>
    <t>Empresa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</si>
</sst>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</fills>
  <borders count="15"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/>
      <diagonal/>
    </border>
    <border>
      <left/>
      <right/>
      <top style="medium">
        <color rgb="FF5B9BD5"/>
      </top>
      <bottom/>
      <diagonal/>
    </border>
    <border>
      <left/>
      <right style="medium">
        <color rgb="FF5B9BD5"/>
      </right>
      <top style="medium">
        <color rgb="FF5B9BD5"/>
      </top>
      <bottom/>
      <diagonal/>
    </border>
    <border>
      <left/>
      <right style="medium">
        <color rgb="FF5B9BD5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rgb="FF5B9BD5"/>
      </top>
      <bottom style="medium">
        <color indexed="64"/>
      </bottom>
      <diagonal/>
    </border>
    <border>
      <left/>
      <right style="medium">
        <color indexed="64"/>
      </right>
      <top style="medium">
        <color rgb="FF5B9BD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rgb="FF5B9BD5"/>
      </top>
      <bottom style="medium">
        <color rgb="FF5B9BD5"/>
      </bottom>
      <diagonal/>
    </border>
    <border>
      <left/>
      <right style="medium">
        <color indexed="64"/>
      </right>
      <top style="medium">
        <color rgb="FF5B9BD5"/>
      </top>
      <bottom style="medium">
        <color rgb="FF5B9BD5"/>
      </bottom>
      <diagonal/>
    </border>
    <border>
      <left style="medium">
        <color rgb="FF5B9BD5"/>
      </left>
      <right/>
      <top/>
      <bottom style="medium">
        <color rgb="FF5B9BD5"/>
      </bottom>
      <diagonal/>
    </border>
    <border>
      <left/>
      <right/>
      <top/>
      <bottom style="medium">
        <color rgb="FF5B9BD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3" xfId="0" applyFont="1" applyFill="1" applyBorder="1" applyAlignment="1">
      <alignment horizontal="center" vertical="center"/>
    </xf>
    <xf numFmtId="3" fontId="1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Empresa 1: faturamento em função de tempo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915581307053599"/>
                  <c:y val="-2.501932205055687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'Correção Modelo 1'!$C$6:$C$28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xVal>
          <c:yVal>
            <c:numRef>
              <c:f>'Correção Modelo 1'!$D$6:$D$28</c:f>
              <c:numCache>
                <c:formatCode>General</c:formatCode>
                <c:ptCount val="23"/>
                <c:pt idx="0">
                  <c:v>5.2</c:v>
                </c:pt>
                <c:pt idx="1">
                  <c:v>7.9</c:v>
                </c:pt>
                <c:pt idx="2">
                  <c:v>15.1</c:v>
                </c:pt>
                <c:pt idx="3">
                  <c:v>27.9</c:v>
                </c:pt>
                <c:pt idx="4">
                  <c:v>35.1</c:v>
                </c:pt>
                <c:pt idx="5">
                  <c:v>39.4</c:v>
                </c:pt>
                <c:pt idx="6">
                  <c:v>39.5</c:v>
                </c:pt>
                <c:pt idx="7">
                  <c:v>39.700000000000003</c:v>
                </c:pt>
                <c:pt idx="8">
                  <c:v>40.5</c:v>
                </c:pt>
                <c:pt idx="9">
                  <c:v>42.8</c:v>
                </c:pt>
                <c:pt idx="10">
                  <c:v>43.8</c:v>
                </c:pt>
                <c:pt idx="11">
                  <c:v>45.9</c:v>
                </c:pt>
                <c:pt idx="12">
                  <c:v>54.3</c:v>
                </c:pt>
                <c:pt idx="13">
                  <c:v>55.3</c:v>
                </c:pt>
                <c:pt idx="14">
                  <c:v>55.9</c:v>
                </c:pt>
                <c:pt idx="15">
                  <c:v>55.1</c:v>
                </c:pt>
                <c:pt idx="16">
                  <c:v>57.2</c:v>
                </c:pt>
                <c:pt idx="17">
                  <c:v>57.1</c:v>
                </c:pt>
                <c:pt idx="18">
                  <c:v>58.8</c:v>
                </c:pt>
                <c:pt idx="19">
                  <c:v>58.9</c:v>
                </c:pt>
                <c:pt idx="20">
                  <c:v>56.9</c:v>
                </c:pt>
                <c:pt idx="21">
                  <c:v>55.7</c:v>
                </c:pt>
                <c:pt idx="22">
                  <c:v>54.6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ED-4B2E-8793-52FE86CE6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335856"/>
        <c:axId val="450336512"/>
      </c:scatterChart>
      <c:valAx>
        <c:axId val="450335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Tempo (meses)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0336512"/>
        <c:crosses val="autoZero"/>
        <c:crossBetween val="midCat"/>
      </c:valAx>
      <c:valAx>
        <c:axId val="45033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Faturamento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0335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Empresa 1: faturamento em função do tempo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21382277452285289"/>
                  <c:y val="-1.640868056997413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'Correção Modelo 1'!$C$6:$C$28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xVal>
          <c:yVal>
            <c:numRef>
              <c:f>'Correção Modelo 1'!$D$6:$D$28</c:f>
              <c:numCache>
                <c:formatCode>General</c:formatCode>
                <c:ptCount val="23"/>
                <c:pt idx="0">
                  <c:v>5.2</c:v>
                </c:pt>
                <c:pt idx="1">
                  <c:v>7.9</c:v>
                </c:pt>
                <c:pt idx="2">
                  <c:v>15.1</c:v>
                </c:pt>
                <c:pt idx="3">
                  <c:v>27.9</c:v>
                </c:pt>
                <c:pt idx="4">
                  <c:v>35.1</c:v>
                </c:pt>
                <c:pt idx="5">
                  <c:v>39.4</c:v>
                </c:pt>
                <c:pt idx="6">
                  <c:v>39.5</c:v>
                </c:pt>
                <c:pt idx="7">
                  <c:v>39.700000000000003</c:v>
                </c:pt>
                <c:pt idx="8">
                  <c:v>40.5</c:v>
                </c:pt>
                <c:pt idx="9">
                  <c:v>42.8</c:v>
                </c:pt>
                <c:pt idx="10">
                  <c:v>43.8</c:v>
                </c:pt>
                <c:pt idx="11">
                  <c:v>45.9</c:v>
                </c:pt>
                <c:pt idx="12">
                  <c:v>54.3</c:v>
                </c:pt>
                <c:pt idx="13">
                  <c:v>55.3</c:v>
                </c:pt>
                <c:pt idx="14">
                  <c:v>55.9</c:v>
                </c:pt>
                <c:pt idx="15">
                  <c:v>55.1</c:v>
                </c:pt>
                <c:pt idx="16">
                  <c:v>57.2</c:v>
                </c:pt>
                <c:pt idx="17">
                  <c:v>57.1</c:v>
                </c:pt>
                <c:pt idx="18">
                  <c:v>58.8</c:v>
                </c:pt>
                <c:pt idx="19">
                  <c:v>58.9</c:v>
                </c:pt>
                <c:pt idx="20">
                  <c:v>56.9</c:v>
                </c:pt>
                <c:pt idx="21">
                  <c:v>55.7</c:v>
                </c:pt>
                <c:pt idx="22">
                  <c:v>54.6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DC-498A-8059-0D5F6862F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320768"/>
        <c:axId val="450323064"/>
      </c:scatterChart>
      <c:valAx>
        <c:axId val="450320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0323064"/>
        <c:crosses val="autoZero"/>
        <c:crossBetween val="midCat"/>
      </c:valAx>
      <c:valAx>
        <c:axId val="450323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0320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Empresa 1: faturamento em função de tempo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3.3804449522674019E-3"/>
                  <c:y val="0.177016270654773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'Correção Modelo 1'!$C$6:$C$28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xVal>
          <c:yVal>
            <c:numRef>
              <c:f>'Correção Modelo 1'!$D$6:$D$28</c:f>
              <c:numCache>
                <c:formatCode>General</c:formatCode>
                <c:ptCount val="23"/>
                <c:pt idx="0">
                  <c:v>5.2</c:v>
                </c:pt>
                <c:pt idx="1">
                  <c:v>7.9</c:v>
                </c:pt>
                <c:pt idx="2">
                  <c:v>15.1</c:v>
                </c:pt>
                <c:pt idx="3">
                  <c:v>27.9</c:v>
                </c:pt>
                <c:pt idx="4">
                  <c:v>35.1</c:v>
                </c:pt>
                <c:pt idx="5">
                  <c:v>39.4</c:v>
                </c:pt>
                <c:pt idx="6">
                  <c:v>39.5</c:v>
                </c:pt>
                <c:pt idx="7">
                  <c:v>39.700000000000003</c:v>
                </c:pt>
                <c:pt idx="8">
                  <c:v>40.5</c:v>
                </c:pt>
                <c:pt idx="9">
                  <c:v>42.8</c:v>
                </c:pt>
                <c:pt idx="10">
                  <c:v>43.8</c:v>
                </c:pt>
                <c:pt idx="11">
                  <c:v>45.9</c:v>
                </c:pt>
                <c:pt idx="12">
                  <c:v>54.3</c:v>
                </c:pt>
                <c:pt idx="13">
                  <c:v>55.3</c:v>
                </c:pt>
                <c:pt idx="14">
                  <c:v>55.9</c:v>
                </c:pt>
                <c:pt idx="15">
                  <c:v>55.1</c:v>
                </c:pt>
                <c:pt idx="16">
                  <c:v>57.2</c:v>
                </c:pt>
                <c:pt idx="17">
                  <c:v>57.1</c:v>
                </c:pt>
                <c:pt idx="18">
                  <c:v>58.8</c:v>
                </c:pt>
                <c:pt idx="19">
                  <c:v>58.9</c:v>
                </c:pt>
                <c:pt idx="20">
                  <c:v>56.9</c:v>
                </c:pt>
                <c:pt idx="21">
                  <c:v>55.7</c:v>
                </c:pt>
                <c:pt idx="22">
                  <c:v>54.6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3E-4891-9A98-DC7D0B8C1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4755704"/>
        <c:axId val="444760296"/>
      </c:scatterChart>
      <c:valAx>
        <c:axId val="444755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4760296"/>
        <c:crosses val="autoZero"/>
        <c:crossBetween val="midCat"/>
      </c:valAx>
      <c:valAx>
        <c:axId val="444760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4755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Empresa 1: faturamento em função do tempo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17182999493484366"/>
                  <c:y val="3.203231915599215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'Correção Modelo 1'!$C$6:$C$28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xVal>
          <c:yVal>
            <c:numRef>
              <c:f>'Correção Modelo 1'!$D$6:$D$28</c:f>
              <c:numCache>
                <c:formatCode>General</c:formatCode>
                <c:ptCount val="23"/>
                <c:pt idx="0">
                  <c:v>5.2</c:v>
                </c:pt>
                <c:pt idx="1">
                  <c:v>7.9</c:v>
                </c:pt>
                <c:pt idx="2">
                  <c:v>15.1</c:v>
                </c:pt>
                <c:pt idx="3">
                  <c:v>27.9</c:v>
                </c:pt>
                <c:pt idx="4">
                  <c:v>35.1</c:v>
                </c:pt>
                <c:pt idx="5">
                  <c:v>39.4</c:v>
                </c:pt>
                <c:pt idx="6">
                  <c:v>39.5</c:v>
                </c:pt>
                <c:pt idx="7">
                  <c:v>39.700000000000003</c:v>
                </c:pt>
                <c:pt idx="8">
                  <c:v>40.5</c:v>
                </c:pt>
                <c:pt idx="9">
                  <c:v>42.8</c:v>
                </c:pt>
                <c:pt idx="10">
                  <c:v>43.8</c:v>
                </c:pt>
                <c:pt idx="11">
                  <c:v>45.9</c:v>
                </c:pt>
                <c:pt idx="12">
                  <c:v>54.3</c:v>
                </c:pt>
                <c:pt idx="13">
                  <c:v>55.3</c:v>
                </c:pt>
                <c:pt idx="14">
                  <c:v>55.9</c:v>
                </c:pt>
                <c:pt idx="15">
                  <c:v>55.1</c:v>
                </c:pt>
                <c:pt idx="16">
                  <c:v>57.2</c:v>
                </c:pt>
                <c:pt idx="17">
                  <c:v>57.1</c:v>
                </c:pt>
                <c:pt idx="18">
                  <c:v>58.8</c:v>
                </c:pt>
                <c:pt idx="19">
                  <c:v>58.9</c:v>
                </c:pt>
                <c:pt idx="20">
                  <c:v>56.9</c:v>
                </c:pt>
                <c:pt idx="21">
                  <c:v>55.7</c:v>
                </c:pt>
                <c:pt idx="22">
                  <c:v>54.6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25-46E0-B826-9D20939A1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358648"/>
        <c:axId val="561358976"/>
      </c:scatterChart>
      <c:valAx>
        <c:axId val="561358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1358976"/>
        <c:crosses val="autoZero"/>
        <c:crossBetween val="midCat"/>
      </c:valAx>
      <c:valAx>
        <c:axId val="56135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1358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Empresa 2: faturamento em função do tempo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730934970243792"/>
                  <c:y val="-3.842892825225142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'Correção Modelo 1'!$C$60:$C$82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xVal>
          <c:yVal>
            <c:numRef>
              <c:f>'Correção Modelo 1'!$E$60:$E$82</c:f>
              <c:numCache>
                <c:formatCode>General</c:formatCode>
                <c:ptCount val="23"/>
                <c:pt idx="0">
                  <c:v>5.8</c:v>
                </c:pt>
                <c:pt idx="1">
                  <c:v>7.2</c:v>
                </c:pt>
                <c:pt idx="2">
                  <c:v>15.9</c:v>
                </c:pt>
                <c:pt idx="3">
                  <c:v>21.9</c:v>
                </c:pt>
                <c:pt idx="4">
                  <c:v>31.5</c:v>
                </c:pt>
                <c:pt idx="5">
                  <c:v>36.799999999999997</c:v>
                </c:pt>
                <c:pt idx="6">
                  <c:v>39.700000000000003</c:v>
                </c:pt>
                <c:pt idx="7">
                  <c:v>40.9</c:v>
                </c:pt>
                <c:pt idx="8">
                  <c:v>41.9</c:v>
                </c:pt>
                <c:pt idx="9">
                  <c:v>43.9</c:v>
                </c:pt>
                <c:pt idx="10">
                  <c:v>43.9</c:v>
                </c:pt>
                <c:pt idx="11">
                  <c:v>45.4</c:v>
                </c:pt>
                <c:pt idx="12">
                  <c:v>55.8</c:v>
                </c:pt>
                <c:pt idx="13">
                  <c:v>54.9</c:v>
                </c:pt>
                <c:pt idx="14">
                  <c:v>53.8</c:v>
                </c:pt>
                <c:pt idx="15">
                  <c:v>56.8</c:v>
                </c:pt>
                <c:pt idx="16">
                  <c:v>57.9</c:v>
                </c:pt>
                <c:pt idx="17">
                  <c:v>57.8</c:v>
                </c:pt>
                <c:pt idx="18">
                  <c:v>56.9</c:v>
                </c:pt>
                <c:pt idx="19">
                  <c:v>57</c:v>
                </c:pt>
                <c:pt idx="20">
                  <c:v>56.2</c:v>
                </c:pt>
                <c:pt idx="21">
                  <c:v>54.7</c:v>
                </c:pt>
                <c:pt idx="22">
                  <c:v>53.8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26-43E2-B5F1-7A77E760C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850040"/>
        <c:axId val="546850368"/>
      </c:scatterChart>
      <c:valAx>
        <c:axId val="546850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6850368"/>
        <c:crosses val="autoZero"/>
        <c:crossBetween val="midCat"/>
      </c:valAx>
      <c:valAx>
        <c:axId val="54685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6850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Empresa 2: faturamento em função do tempo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1.454100347548307E-2"/>
                  <c:y val="0.132505546931240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'Correção Modelo 1'!$C$60:$C$82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xVal>
          <c:yVal>
            <c:numRef>
              <c:f>'Correção Modelo 1'!$E$60:$E$82</c:f>
              <c:numCache>
                <c:formatCode>General</c:formatCode>
                <c:ptCount val="23"/>
                <c:pt idx="0">
                  <c:v>5.8</c:v>
                </c:pt>
                <c:pt idx="1">
                  <c:v>7.2</c:v>
                </c:pt>
                <c:pt idx="2">
                  <c:v>15.9</c:v>
                </c:pt>
                <c:pt idx="3">
                  <c:v>21.9</c:v>
                </c:pt>
                <c:pt idx="4">
                  <c:v>31.5</c:v>
                </c:pt>
                <c:pt idx="5">
                  <c:v>36.799999999999997</c:v>
                </c:pt>
                <c:pt idx="6">
                  <c:v>39.700000000000003</c:v>
                </c:pt>
                <c:pt idx="7">
                  <c:v>40.9</c:v>
                </c:pt>
                <c:pt idx="8">
                  <c:v>41.9</c:v>
                </c:pt>
                <c:pt idx="9">
                  <c:v>43.9</c:v>
                </c:pt>
                <c:pt idx="10">
                  <c:v>43.9</c:v>
                </c:pt>
                <c:pt idx="11">
                  <c:v>45.4</c:v>
                </c:pt>
                <c:pt idx="12">
                  <c:v>55.8</c:v>
                </c:pt>
                <c:pt idx="13">
                  <c:v>54.9</c:v>
                </c:pt>
                <c:pt idx="14">
                  <c:v>53.8</c:v>
                </c:pt>
                <c:pt idx="15">
                  <c:v>56.8</c:v>
                </c:pt>
                <c:pt idx="16">
                  <c:v>57.9</c:v>
                </c:pt>
                <c:pt idx="17">
                  <c:v>57.8</c:v>
                </c:pt>
                <c:pt idx="18">
                  <c:v>56.9</c:v>
                </c:pt>
                <c:pt idx="19">
                  <c:v>57</c:v>
                </c:pt>
                <c:pt idx="20">
                  <c:v>56.2</c:v>
                </c:pt>
                <c:pt idx="21">
                  <c:v>54.7</c:v>
                </c:pt>
                <c:pt idx="22">
                  <c:v>53.8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B0-4783-98BA-DC94B0C67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861848"/>
        <c:axId val="546864144"/>
      </c:scatterChart>
      <c:valAx>
        <c:axId val="546861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6864144"/>
        <c:crosses val="autoZero"/>
        <c:crossBetween val="midCat"/>
      </c:valAx>
      <c:valAx>
        <c:axId val="54686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6861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Empresa 2: faturamento em função do tempo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Emprewsa 2: faturamento em função do tempo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2.6821801913936016E-2"/>
                  <c:y val="0.205415419823802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'Correção Modelo 1'!$C$60:$C$82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xVal>
          <c:yVal>
            <c:numRef>
              <c:f>'Correção Modelo 1'!$E$60:$E$82</c:f>
              <c:numCache>
                <c:formatCode>General</c:formatCode>
                <c:ptCount val="23"/>
                <c:pt idx="0">
                  <c:v>5.8</c:v>
                </c:pt>
                <c:pt idx="1">
                  <c:v>7.2</c:v>
                </c:pt>
                <c:pt idx="2">
                  <c:v>15.9</c:v>
                </c:pt>
                <c:pt idx="3">
                  <c:v>21.9</c:v>
                </c:pt>
                <c:pt idx="4">
                  <c:v>31.5</c:v>
                </c:pt>
                <c:pt idx="5">
                  <c:v>36.799999999999997</c:v>
                </c:pt>
                <c:pt idx="6">
                  <c:v>39.700000000000003</c:v>
                </c:pt>
                <c:pt idx="7">
                  <c:v>40.9</c:v>
                </c:pt>
                <c:pt idx="8">
                  <c:v>41.9</c:v>
                </c:pt>
                <c:pt idx="9">
                  <c:v>43.9</c:v>
                </c:pt>
                <c:pt idx="10">
                  <c:v>43.9</c:v>
                </c:pt>
                <c:pt idx="11">
                  <c:v>45.4</c:v>
                </c:pt>
                <c:pt idx="12">
                  <c:v>55.8</c:v>
                </c:pt>
                <c:pt idx="13">
                  <c:v>54.9</c:v>
                </c:pt>
                <c:pt idx="14">
                  <c:v>53.8</c:v>
                </c:pt>
                <c:pt idx="15">
                  <c:v>56.8</c:v>
                </c:pt>
                <c:pt idx="16">
                  <c:v>57.9</c:v>
                </c:pt>
                <c:pt idx="17">
                  <c:v>57.8</c:v>
                </c:pt>
                <c:pt idx="18">
                  <c:v>56.9</c:v>
                </c:pt>
                <c:pt idx="19">
                  <c:v>57</c:v>
                </c:pt>
                <c:pt idx="20">
                  <c:v>56.2</c:v>
                </c:pt>
                <c:pt idx="21">
                  <c:v>54.7</c:v>
                </c:pt>
                <c:pt idx="22">
                  <c:v>53.8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15-4E2F-B3CB-9B8CE3ADC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4741272"/>
        <c:axId val="444749800"/>
      </c:scatterChart>
      <c:valAx>
        <c:axId val="444741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4749800"/>
        <c:crosses val="autoZero"/>
        <c:crossBetween val="midCat"/>
      </c:valAx>
      <c:valAx>
        <c:axId val="444749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4741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Empresa 2: faturamento em função do tempo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14661876327462248"/>
                  <c:y val="0.431191011235955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'Correção Modelo 1'!$C$60:$C$82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xVal>
          <c:yVal>
            <c:numRef>
              <c:f>'Correção Modelo 1'!$E$60:$E$82</c:f>
              <c:numCache>
                <c:formatCode>General</c:formatCode>
                <c:ptCount val="23"/>
                <c:pt idx="0">
                  <c:v>5.8</c:v>
                </c:pt>
                <c:pt idx="1">
                  <c:v>7.2</c:v>
                </c:pt>
                <c:pt idx="2">
                  <c:v>15.9</c:v>
                </c:pt>
                <c:pt idx="3">
                  <c:v>21.9</c:v>
                </c:pt>
                <c:pt idx="4">
                  <c:v>31.5</c:v>
                </c:pt>
                <c:pt idx="5">
                  <c:v>36.799999999999997</c:v>
                </c:pt>
                <c:pt idx="6">
                  <c:v>39.700000000000003</c:v>
                </c:pt>
                <c:pt idx="7">
                  <c:v>40.9</c:v>
                </c:pt>
                <c:pt idx="8">
                  <c:v>41.9</c:v>
                </c:pt>
                <c:pt idx="9">
                  <c:v>43.9</c:v>
                </c:pt>
                <c:pt idx="10">
                  <c:v>43.9</c:v>
                </c:pt>
                <c:pt idx="11">
                  <c:v>45.4</c:v>
                </c:pt>
                <c:pt idx="12">
                  <c:v>55.8</c:v>
                </c:pt>
                <c:pt idx="13">
                  <c:v>54.9</c:v>
                </c:pt>
                <c:pt idx="14">
                  <c:v>53.8</c:v>
                </c:pt>
                <c:pt idx="15">
                  <c:v>56.8</c:v>
                </c:pt>
                <c:pt idx="16">
                  <c:v>57.9</c:v>
                </c:pt>
                <c:pt idx="17">
                  <c:v>57.8</c:v>
                </c:pt>
                <c:pt idx="18">
                  <c:v>56.9</c:v>
                </c:pt>
                <c:pt idx="19">
                  <c:v>57</c:v>
                </c:pt>
                <c:pt idx="20">
                  <c:v>56.2</c:v>
                </c:pt>
                <c:pt idx="21">
                  <c:v>54.7</c:v>
                </c:pt>
                <c:pt idx="22">
                  <c:v>53.8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B1-456A-891B-B317B6211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843152"/>
        <c:axId val="546841184"/>
      </c:scatterChart>
      <c:valAx>
        <c:axId val="546843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6841184"/>
        <c:crosses val="autoZero"/>
        <c:crossBetween val="midCat"/>
      </c:valAx>
      <c:valAx>
        <c:axId val="54684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6843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Empresa 1: faturamento em função de tempo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521959170796471"/>
                  <c:y val="0.30608559430821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'Correção Modelo 2'!$C$6:$C$28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xVal>
          <c:yVal>
            <c:numRef>
              <c:f>'Correção Modelo 2'!$D$6:$D$28</c:f>
              <c:numCache>
                <c:formatCode>General</c:formatCode>
                <c:ptCount val="23"/>
                <c:pt idx="0">
                  <c:v>5.6</c:v>
                </c:pt>
                <c:pt idx="1">
                  <c:v>7.9</c:v>
                </c:pt>
                <c:pt idx="2">
                  <c:v>15.1</c:v>
                </c:pt>
                <c:pt idx="3">
                  <c:v>27.9</c:v>
                </c:pt>
                <c:pt idx="4">
                  <c:v>35.1</c:v>
                </c:pt>
                <c:pt idx="5">
                  <c:v>39.4</c:v>
                </c:pt>
                <c:pt idx="6">
                  <c:v>39.5</c:v>
                </c:pt>
                <c:pt idx="7">
                  <c:v>39.700000000000003</c:v>
                </c:pt>
                <c:pt idx="8">
                  <c:v>40.5</c:v>
                </c:pt>
                <c:pt idx="9">
                  <c:v>42.8</c:v>
                </c:pt>
                <c:pt idx="10">
                  <c:v>43.8</c:v>
                </c:pt>
                <c:pt idx="11">
                  <c:v>45.9</c:v>
                </c:pt>
                <c:pt idx="12">
                  <c:v>54.3</c:v>
                </c:pt>
                <c:pt idx="13">
                  <c:v>55.3</c:v>
                </c:pt>
                <c:pt idx="14">
                  <c:v>55.9</c:v>
                </c:pt>
                <c:pt idx="15">
                  <c:v>55.1</c:v>
                </c:pt>
                <c:pt idx="16">
                  <c:v>57.2</c:v>
                </c:pt>
                <c:pt idx="17">
                  <c:v>57.1</c:v>
                </c:pt>
                <c:pt idx="18">
                  <c:v>58.8</c:v>
                </c:pt>
                <c:pt idx="19">
                  <c:v>58.7</c:v>
                </c:pt>
                <c:pt idx="20">
                  <c:v>56.8</c:v>
                </c:pt>
                <c:pt idx="21">
                  <c:v>55.6</c:v>
                </c:pt>
                <c:pt idx="22">
                  <c:v>54.5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14-4E03-8391-6B8B2FEEB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954272"/>
        <c:axId val="555955584"/>
      </c:scatterChart>
      <c:valAx>
        <c:axId val="555954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5955584"/>
        <c:crosses val="autoZero"/>
        <c:crossBetween val="midCat"/>
      </c:valAx>
      <c:valAx>
        <c:axId val="55595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5954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Empresa 1: faturamento em função do tempo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1.9636472270234514E-2"/>
                  <c:y val="0.197528562236045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'Correção Modelo 2'!$C$6:$C$28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xVal>
          <c:yVal>
            <c:numRef>
              <c:f>'Correção Modelo 2'!$D$6:$D$28</c:f>
              <c:numCache>
                <c:formatCode>General</c:formatCode>
                <c:ptCount val="23"/>
                <c:pt idx="0">
                  <c:v>5.6</c:v>
                </c:pt>
                <c:pt idx="1">
                  <c:v>7.9</c:v>
                </c:pt>
                <c:pt idx="2">
                  <c:v>15.1</c:v>
                </c:pt>
                <c:pt idx="3">
                  <c:v>27.9</c:v>
                </c:pt>
                <c:pt idx="4">
                  <c:v>35.1</c:v>
                </c:pt>
                <c:pt idx="5">
                  <c:v>39.4</c:v>
                </c:pt>
                <c:pt idx="6">
                  <c:v>39.5</c:v>
                </c:pt>
                <c:pt idx="7">
                  <c:v>39.700000000000003</c:v>
                </c:pt>
                <c:pt idx="8">
                  <c:v>40.5</c:v>
                </c:pt>
                <c:pt idx="9">
                  <c:v>42.8</c:v>
                </c:pt>
                <c:pt idx="10">
                  <c:v>43.8</c:v>
                </c:pt>
                <c:pt idx="11">
                  <c:v>45.9</c:v>
                </c:pt>
                <c:pt idx="12">
                  <c:v>54.3</c:v>
                </c:pt>
                <c:pt idx="13">
                  <c:v>55.3</c:v>
                </c:pt>
                <c:pt idx="14">
                  <c:v>55.9</c:v>
                </c:pt>
                <c:pt idx="15">
                  <c:v>55.1</c:v>
                </c:pt>
                <c:pt idx="16">
                  <c:v>57.2</c:v>
                </c:pt>
                <c:pt idx="17">
                  <c:v>57.1</c:v>
                </c:pt>
                <c:pt idx="18">
                  <c:v>58.8</c:v>
                </c:pt>
                <c:pt idx="19">
                  <c:v>58.7</c:v>
                </c:pt>
                <c:pt idx="20">
                  <c:v>56.8</c:v>
                </c:pt>
                <c:pt idx="21">
                  <c:v>55.6</c:v>
                </c:pt>
                <c:pt idx="22">
                  <c:v>54.5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8B-409D-BA78-1BFE04ABE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956240"/>
        <c:axId val="555957224"/>
      </c:scatterChart>
      <c:valAx>
        <c:axId val="555956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5957224"/>
        <c:crosses val="autoZero"/>
        <c:crossBetween val="midCat"/>
      </c:valAx>
      <c:valAx>
        <c:axId val="555957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5956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Empresa 1: faturamento em função do tempo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2.6717721928594541E-2"/>
                  <c:y val="0.205808179130113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'Correção Modelo 2'!$C$6:$C$28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xVal>
          <c:yVal>
            <c:numRef>
              <c:f>'Correção Modelo 2'!$D$6:$D$28</c:f>
              <c:numCache>
                <c:formatCode>General</c:formatCode>
                <c:ptCount val="23"/>
                <c:pt idx="0">
                  <c:v>5.6</c:v>
                </c:pt>
                <c:pt idx="1">
                  <c:v>7.9</c:v>
                </c:pt>
                <c:pt idx="2">
                  <c:v>15.1</c:v>
                </c:pt>
                <c:pt idx="3">
                  <c:v>27.9</c:v>
                </c:pt>
                <c:pt idx="4">
                  <c:v>35.1</c:v>
                </c:pt>
                <c:pt idx="5">
                  <c:v>39.4</c:v>
                </c:pt>
                <c:pt idx="6">
                  <c:v>39.5</c:v>
                </c:pt>
                <c:pt idx="7">
                  <c:v>39.700000000000003</c:v>
                </c:pt>
                <c:pt idx="8">
                  <c:v>40.5</c:v>
                </c:pt>
                <c:pt idx="9">
                  <c:v>42.8</c:v>
                </c:pt>
                <c:pt idx="10">
                  <c:v>43.8</c:v>
                </c:pt>
                <c:pt idx="11">
                  <c:v>45.9</c:v>
                </c:pt>
                <c:pt idx="12">
                  <c:v>54.3</c:v>
                </c:pt>
                <c:pt idx="13">
                  <c:v>55.3</c:v>
                </c:pt>
                <c:pt idx="14">
                  <c:v>55.9</c:v>
                </c:pt>
                <c:pt idx="15">
                  <c:v>55.1</c:v>
                </c:pt>
                <c:pt idx="16">
                  <c:v>57.2</c:v>
                </c:pt>
                <c:pt idx="17">
                  <c:v>57.1</c:v>
                </c:pt>
                <c:pt idx="18">
                  <c:v>58.8</c:v>
                </c:pt>
                <c:pt idx="19">
                  <c:v>58.7</c:v>
                </c:pt>
                <c:pt idx="20">
                  <c:v>56.8</c:v>
                </c:pt>
                <c:pt idx="21">
                  <c:v>55.6</c:v>
                </c:pt>
                <c:pt idx="22">
                  <c:v>54.5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3E-4EB2-AC33-D4797D959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944760"/>
        <c:axId val="555940168"/>
      </c:scatterChart>
      <c:valAx>
        <c:axId val="555944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5940168"/>
        <c:crosses val="autoZero"/>
        <c:crossBetween val="midCat"/>
      </c:valAx>
      <c:valAx>
        <c:axId val="555940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5944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Empresa 1: faturamento em função do tempo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14509718896734788"/>
                  <c:y val="0.50214438844517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'Correção Modelo 2'!$C$6:$C$28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xVal>
          <c:yVal>
            <c:numRef>
              <c:f>'Correção Modelo 2'!$D$6:$D$28</c:f>
              <c:numCache>
                <c:formatCode>General</c:formatCode>
                <c:ptCount val="23"/>
                <c:pt idx="0">
                  <c:v>5.6</c:v>
                </c:pt>
                <c:pt idx="1">
                  <c:v>7.9</c:v>
                </c:pt>
                <c:pt idx="2">
                  <c:v>15.1</c:v>
                </c:pt>
                <c:pt idx="3">
                  <c:v>27.9</c:v>
                </c:pt>
                <c:pt idx="4">
                  <c:v>35.1</c:v>
                </c:pt>
                <c:pt idx="5">
                  <c:v>39.4</c:v>
                </c:pt>
                <c:pt idx="6">
                  <c:v>39.5</c:v>
                </c:pt>
                <c:pt idx="7">
                  <c:v>39.700000000000003</c:v>
                </c:pt>
                <c:pt idx="8">
                  <c:v>40.5</c:v>
                </c:pt>
                <c:pt idx="9">
                  <c:v>42.8</c:v>
                </c:pt>
                <c:pt idx="10">
                  <c:v>43.8</c:v>
                </c:pt>
                <c:pt idx="11">
                  <c:v>45.9</c:v>
                </c:pt>
                <c:pt idx="12">
                  <c:v>54.3</c:v>
                </c:pt>
                <c:pt idx="13">
                  <c:v>55.3</c:v>
                </c:pt>
                <c:pt idx="14">
                  <c:v>55.9</c:v>
                </c:pt>
                <c:pt idx="15">
                  <c:v>55.1</c:v>
                </c:pt>
                <c:pt idx="16">
                  <c:v>57.2</c:v>
                </c:pt>
                <c:pt idx="17">
                  <c:v>57.1</c:v>
                </c:pt>
                <c:pt idx="18">
                  <c:v>58.8</c:v>
                </c:pt>
                <c:pt idx="19">
                  <c:v>58.7</c:v>
                </c:pt>
                <c:pt idx="20">
                  <c:v>56.8</c:v>
                </c:pt>
                <c:pt idx="21">
                  <c:v>55.6</c:v>
                </c:pt>
                <c:pt idx="22">
                  <c:v>54.5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19-47E0-A72C-FD33F90E9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349960"/>
        <c:axId val="450337496"/>
      </c:scatterChart>
      <c:valAx>
        <c:axId val="450349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0337496"/>
        <c:crosses val="autoZero"/>
        <c:crossBetween val="midCat"/>
      </c:valAx>
      <c:valAx>
        <c:axId val="450337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0349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Empresa 2: faturamento em função do tempo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0939603219988559E-5"/>
                  <c:y val="0.348589181223022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'Correção Modelo 2'!$C$52:$C$74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xVal>
          <c:yVal>
            <c:numRef>
              <c:f>'Correção Modelo 2'!$E$52:$E$74</c:f>
              <c:numCache>
                <c:formatCode>General</c:formatCode>
                <c:ptCount val="23"/>
                <c:pt idx="0">
                  <c:v>5.9</c:v>
                </c:pt>
                <c:pt idx="1">
                  <c:v>7.3</c:v>
                </c:pt>
                <c:pt idx="2">
                  <c:v>15.8</c:v>
                </c:pt>
                <c:pt idx="3">
                  <c:v>21.9</c:v>
                </c:pt>
                <c:pt idx="4">
                  <c:v>31.5</c:v>
                </c:pt>
                <c:pt idx="5">
                  <c:v>36.799999999999997</c:v>
                </c:pt>
                <c:pt idx="6">
                  <c:v>39.700000000000003</c:v>
                </c:pt>
                <c:pt idx="7">
                  <c:v>40.9</c:v>
                </c:pt>
                <c:pt idx="8">
                  <c:v>41.9</c:v>
                </c:pt>
                <c:pt idx="9">
                  <c:v>43.9</c:v>
                </c:pt>
                <c:pt idx="10">
                  <c:v>43.9</c:v>
                </c:pt>
                <c:pt idx="11">
                  <c:v>45.4</c:v>
                </c:pt>
                <c:pt idx="12">
                  <c:v>55.8</c:v>
                </c:pt>
                <c:pt idx="13">
                  <c:v>54.9</c:v>
                </c:pt>
                <c:pt idx="14">
                  <c:v>53.8</c:v>
                </c:pt>
                <c:pt idx="15">
                  <c:v>56.8</c:v>
                </c:pt>
                <c:pt idx="16">
                  <c:v>57.9</c:v>
                </c:pt>
                <c:pt idx="17">
                  <c:v>57.7</c:v>
                </c:pt>
                <c:pt idx="18">
                  <c:v>56.8</c:v>
                </c:pt>
                <c:pt idx="19">
                  <c:v>57</c:v>
                </c:pt>
                <c:pt idx="20">
                  <c:v>56.1</c:v>
                </c:pt>
                <c:pt idx="21">
                  <c:v>54.6</c:v>
                </c:pt>
                <c:pt idx="22">
                  <c:v>53.7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A0-459C-8FAC-3C95DA4D0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4749472"/>
        <c:axId val="444746520"/>
      </c:scatterChart>
      <c:valAx>
        <c:axId val="444749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4746520"/>
        <c:crosses val="autoZero"/>
        <c:crossBetween val="midCat"/>
      </c:valAx>
      <c:valAx>
        <c:axId val="444746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4749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Empresa 2: faturamento em função do tempo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4.6860481874041952E-2"/>
                  <c:y val="0.226583291825810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'Correção Modelo 2'!$C$52:$C$74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xVal>
          <c:yVal>
            <c:numRef>
              <c:f>'Correção Modelo 2'!$E$52:$E$74</c:f>
              <c:numCache>
                <c:formatCode>General</c:formatCode>
                <c:ptCount val="23"/>
                <c:pt idx="0">
                  <c:v>5.9</c:v>
                </c:pt>
                <c:pt idx="1">
                  <c:v>7.3</c:v>
                </c:pt>
                <c:pt idx="2">
                  <c:v>15.8</c:v>
                </c:pt>
                <c:pt idx="3">
                  <c:v>21.9</c:v>
                </c:pt>
                <c:pt idx="4">
                  <c:v>31.5</c:v>
                </c:pt>
                <c:pt idx="5">
                  <c:v>36.799999999999997</c:v>
                </c:pt>
                <c:pt idx="6">
                  <c:v>39.700000000000003</c:v>
                </c:pt>
                <c:pt idx="7">
                  <c:v>40.9</c:v>
                </c:pt>
                <c:pt idx="8">
                  <c:v>41.9</c:v>
                </c:pt>
                <c:pt idx="9">
                  <c:v>43.9</c:v>
                </c:pt>
                <c:pt idx="10">
                  <c:v>43.9</c:v>
                </c:pt>
                <c:pt idx="11">
                  <c:v>45.4</c:v>
                </c:pt>
                <c:pt idx="12">
                  <c:v>55.8</c:v>
                </c:pt>
                <c:pt idx="13">
                  <c:v>54.9</c:v>
                </c:pt>
                <c:pt idx="14">
                  <c:v>53.8</c:v>
                </c:pt>
                <c:pt idx="15">
                  <c:v>56.8</c:v>
                </c:pt>
                <c:pt idx="16">
                  <c:v>57.9</c:v>
                </c:pt>
                <c:pt idx="17">
                  <c:v>57.7</c:v>
                </c:pt>
                <c:pt idx="18">
                  <c:v>56.8</c:v>
                </c:pt>
                <c:pt idx="19">
                  <c:v>57</c:v>
                </c:pt>
                <c:pt idx="20">
                  <c:v>56.1</c:v>
                </c:pt>
                <c:pt idx="21">
                  <c:v>54.6</c:v>
                </c:pt>
                <c:pt idx="22">
                  <c:v>53.7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91-4C0A-AEBE-E33E45400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4770136"/>
        <c:axId val="444769808"/>
      </c:scatterChart>
      <c:valAx>
        <c:axId val="444770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4769808"/>
        <c:crosses val="autoZero"/>
        <c:crossBetween val="midCat"/>
      </c:valAx>
      <c:valAx>
        <c:axId val="44476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4770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Empresa 2: Faturamento em função do tempo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2.202546609276446E-2"/>
                  <c:y val="0.2768777852933538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'Correção Modelo 2'!$C$52:$C$74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xVal>
          <c:yVal>
            <c:numRef>
              <c:f>'Correção Modelo 2'!$E$52:$E$74</c:f>
              <c:numCache>
                <c:formatCode>General</c:formatCode>
                <c:ptCount val="23"/>
                <c:pt idx="0">
                  <c:v>5.9</c:v>
                </c:pt>
                <c:pt idx="1">
                  <c:v>7.3</c:v>
                </c:pt>
                <c:pt idx="2">
                  <c:v>15.8</c:v>
                </c:pt>
                <c:pt idx="3">
                  <c:v>21.9</c:v>
                </c:pt>
                <c:pt idx="4">
                  <c:v>31.5</c:v>
                </c:pt>
                <c:pt idx="5">
                  <c:v>36.799999999999997</c:v>
                </c:pt>
                <c:pt idx="6">
                  <c:v>39.700000000000003</c:v>
                </c:pt>
                <c:pt idx="7">
                  <c:v>40.9</c:v>
                </c:pt>
                <c:pt idx="8">
                  <c:v>41.9</c:v>
                </c:pt>
                <c:pt idx="9">
                  <c:v>43.9</c:v>
                </c:pt>
                <c:pt idx="10">
                  <c:v>43.9</c:v>
                </c:pt>
                <c:pt idx="11">
                  <c:v>45.4</c:v>
                </c:pt>
                <c:pt idx="12">
                  <c:v>55.8</c:v>
                </c:pt>
                <c:pt idx="13">
                  <c:v>54.9</c:v>
                </c:pt>
                <c:pt idx="14">
                  <c:v>53.8</c:v>
                </c:pt>
                <c:pt idx="15">
                  <c:v>56.8</c:v>
                </c:pt>
                <c:pt idx="16">
                  <c:v>57.9</c:v>
                </c:pt>
                <c:pt idx="17">
                  <c:v>57.7</c:v>
                </c:pt>
                <c:pt idx="18">
                  <c:v>56.8</c:v>
                </c:pt>
                <c:pt idx="19">
                  <c:v>57</c:v>
                </c:pt>
                <c:pt idx="20">
                  <c:v>56.1</c:v>
                </c:pt>
                <c:pt idx="21">
                  <c:v>54.6</c:v>
                </c:pt>
                <c:pt idx="22">
                  <c:v>53.7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4B-4B7B-849E-103F4B9D7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4762592"/>
        <c:axId val="444763248"/>
      </c:scatterChart>
      <c:valAx>
        <c:axId val="444762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4763248"/>
        <c:crosses val="autoZero"/>
        <c:crossBetween val="midCat"/>
      </c:valAx>
      <c:valAx>
        <c:axId val="44476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4762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9372703412073493E-2"/>
          <c:y val="0.19486111111111112"/>
          <c:w val="0.86817585301837275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v>Empresa 2: Faturamento em função do tempo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16329705232343589"/>
                  <c:y val="2.117253064885876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'Correção Modelo 2'!$C$52:$C$74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xVal>
          <c:yVal>
            <c:numRef>
              <c:f>'Correção Modelo 2'!$E$52:$E$74</c:f>
              <c:numCache>
                <c:formatCode>General</c:formatCode>
                <c:ptCount val="23"/>
                <c:pt idx="0">
                  <c:v>5.9</c:v>
                </c:pt>
                <c:pt idx="1">
                  <c:v>7.3</c:v>
                </c:pt>
                <c:pt idx="2">
                  <c:v>15.8</c:v>
                </c:pt>
                <c:pt idx="3">
                  <c:v>21.9</c:v>
                </c:pt>
                <c:pt idx="4">
                  <c:v>31.5</c:v>
                </c:pt>
                <c:pt idx="5">
                  <c:v>36.799999999999997</c:v>
                </c:pt>
                <c:pt idx="6">
                  <c:v>39.700000000000003</c:v>
                </c:pt>
                <c:pt idx="7">
                  <c:v>40.9</c:v>
                </c:pt>
                <c:pt idx="8">
                  <c:v>41.9</c:v>
                </c:pt>
                <c:pt idx="9">
                  <c:v>43.9</c:v>
                </c:pt>
                <c:pt idx="10">
                  <c:v>43.9</c:v>
                </c:pt>
                <c:pt idx="11">
                  <c:v>45.4</c:v>
                </c:pt>
                <c:pt idx="12">
                  <c:v>55.8</c:v>
                </c:pt>
                <c:pt idx="13">
                  <c:v>54.9</c:v>
                </c:pt>
                <c:pt idx="14">
                  <c:v>53.8</c:v>
                </c:pt>
                <c:pt idx="15">
                  <c:v>56.8</c:v>
                </c:pt>
                <c:pt idx="16">
                  <c:v>57.9</c:v>
                </c:pt>
                <c:pt idx="17">
                  <c:v>57.7</c:v>
                </c:pt>
                <c:pt idx="18">
                  <c:v>56.8</c:v>
                </c:pt>
                <c:pt idx="19">
                  <c:v>57</c:v>
                </c:pt>
                <c:pt idx="20">
                  <c:v>56.1</c:v>
                </c:pt>
                <c:pt idx="21">
                  <c:v>54.6</c:v>
                </c:pt>
                <c:pt idx="22">
                  <c:v>53.7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3B-41C9-9EE2-EB59F606A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4643928"/>
        <c:axId val="650781800"/>
      </c:scatterChart>
      <c:valAx>
        <c:axId val="584643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0781800"/>
        <c:crosses val="autoZero"/>
        <c:crossBetween val="midCat"/>
      </c:valAx>
      <c:valAx>
        <c:axId val="650781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4643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</xdr:colOff>
      <xdr:row>2</xdr:row>
      <xdr:rowOff>166686</xdr:rowOff>
    </xdr:from>
    <xdr:to>
      <xdr:col>17</xdr:col>
      <xdr:colOff>9525</xdr:colOff>
      <xdr:row>20</xdr:row>
      <xdr:rowOff>114299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15AA99D-6FED-4E87-9B09-9712E3C072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542925</xdr:colOff>
      <xdr:row>25</xdr:row>
      <xdr:rowOff>185736</xdr:rowOff>
    </xdr:from>
    <xdr:to>
      <xdr:col>16</xdr:col>
      <xdr:colOff>476250</xdr:colOff>
      <xdr:row>47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96110D2-A197-464F-822A-46F91277FA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66675</xdr:colOff>
      <xdr:row>2</xdr:row>
      <xdr:rowOff>123825</xdr:rowOff>
    </xdr:from>
    <xdr:to>
      <xdr:col>28</xdr:col>
      <xdr:colOff>9525</xdr:colOff>
      <xdr:row>20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A12E4C4-28EB-4F1B-842C-659BB6577D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352425</xdr:colOff>
      <xdr:row>26</xdr:row>
      <xdr:rowOff>4761</xdr:rowOff>
    </xdr:from>
    <xdr:to>
      <xdr:col>28</xdr:col>
      <xdr:colOff>9525</xdr:colOff>
      <xdr:row>47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0EDAB2A-99DD-4E69-A589-C4B258EC19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504824</xdr:colOff>
      <xdr:row>56</xdr:row>
      <xdr:rowOff>138112</xdr:rowOff>
    </xdr:from>
    <xdr:to>
      <xdr:col>16</xdr:col>
      <xdr:colOff>285749</xdr:colOff>
      <xdr:row>73</xdr:row>
      <xdr:rowOff>95250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401C503-5945-4C23-A0A7-0271DBFA86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171450</xdr:colOff>
      <xdr:row>55</xdr:row>
      <xdr:rowOff>161925</xdr:rowOff>
    </xdr:from>
    <xdr:to>
      <xdr:col>28</xdr:col>
      <xdr:colOff>304800</xdr:colOff>
      <xdr:row>72</xdr:row>
      <xdr:rowOff>219074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04C58D8-74AB-474D-9992-7AEDB28C6D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561975</xdr:colOff>
      <xdr:row>78</xdr:row>
      <xdr:rowOff>119062</xdr:rowOff>
    </xdr:from>
    <xdr:to>
      <xdr:col>16</xdr:col>
      <xdr:colOff>9525</xdr:colOff>
      <xdr:row>99</xdr:row>
      <xdr:rowOff>95250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2A5966A-F6C9-476A-B42F-BFDDF57421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504824</xdr:colOff>
      <xdr:row>77</xdr:row>
      <xdr:rowOff>238125</xdr:rowOff>
    </xdr:from>
    <xdr:to>
      <xdr:col>28</xdr:col>
      <xdr:colOff>400049</xdr:colOff>
      <xdr:row>99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3A7BA4B-2AFC-4A42-B1B3-03A1C90B74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oneCellAnchor>
    <xdr:from>
      <xdr:col>22</xdr:col>
      <xdr:colOff>15876</xdr:colOff>
      <xdr:row>74</xdr:row>
      <xdr:rowOff>87313</xdr:rowOff>
    </xdr:from>
    <xdr:ext cx="4246562" cy="436786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B368BC6F-1C7E-482D-B33E-A82D252676B4}"/>
            </a:ext>
          </a:extLst>
        </xdr:cNvPr>
        <xdr:cNvSpPr txBox="1"/>
      </xdr:nvSpPr>
      <xdr:spPr>
        <a:xfrm>
          <a:off x="14914564" y="16327438"/>
          <a:ext cx="4246562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/>
            <a:t>Note que a empresa 2 apresenta os menores valores para os meses 24 e 25, o que indica maior retração de vendas</a:t>
          </a:r>
        </a:p>
      </xdr:txBody>
    </xdr:sp>
    <xdr:clientData/>
  </xdr:oneCellAnchor>
  <xdr:twoCellAnchor>
    <xdr:from>
      <xdr:col>20</xdr:col>
      <xdr:colOff>579437</xdr:colOff>
      <xdr:row>75</xdr:row>
      <xdr:rowOff>47625</xdr:rowOff>
    </xdr:from>
    <xdr:to>
      <xdr:col>22</xdr:col>
      <xdr:colOff>15876</xdr:colOff>
      <xdr:row>75</xdr:row>
      <xdr:rowOff>59643</xdr:rowOff>
    </xdr:to>
    <xdr:cxnSp macro="">
      <xdr:nvCxnSpPr>
        <xdr:cNvPr id="12" name="Conector de Seta Reta 11">
          <a:extLst>
            <a:ext uri="{FF2B5EF4-FFF2-40B4-BE49-F238E27FC236}">
              <a16:creationId xmlns:a16="http://schemas.microsoft.com/office/drawing/2014/main" id="{422EC076-522B-40C0-9F32-71EABD7D6B89}"/>
            </a:ext>
          </a:extLst>
        </xdr:cNvPr>
        <xdr:cNvCxnSpPr>
          <a:stCxn id="10" idx="1"/>
        </xdr:cNvCxnSpPr>
      </xdr:nvCxnSpPr>
      <xdr:spPr>
        <a:xfrm flipH="1" flipV="1">
          <a:off x="14255750" y="16533813"/>
          <a:ext cx="658814" cy="120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285750</xdr:colOff>
      <xdr:row>22</xdr:row>
      <xdr:rowOff>15875</xdr:rowOff>
    </xdr:from>
    <xdr:ext cx="4709431" cy="436786"/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AF786602-4A6A-4F59-B6C8-7B2BFAA85086}"/>
            </a:ext>
          </a:extLst>
        </xdr:cNvPr>
        <xdr:cNvSpPr txBox="1"/>
      </xdr:nvSpPr>
      <xdr:spPr>
        <a:xfrm>
          <a:off x="15184438" y="5167313"/>
          <a:ext cx="4709431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Note que a empresa 1 possui uma pequena vantagem em relação à empresa 2,</a:t>
          </a:r>
        </a:p>
        <a:p>
          <a:r>
            <a:rPr lang="pt-BR" sz="1100"/>
            <a:t> com uma retração um pouco menor.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238124</xdr:colOff>
      <xdr:row>2</xdr:row>
      <xdr:rowOff>176211</xdr:rowOff>
    </xdr:from>
    <xdr:to>
      <xdr:col>15</xdr:col>
      <xdr:colOff>457199</xdr:colOff>
      <xdr:row>18</xdr:row>
      <xdr:rowOff>180974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D1CD399-1D42-431A-8DCF-BB66D0F278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304799</xdr:colOff>
      <xdr:row>3</xdr:row>
      <xdr:rowOff>90486</xdr:rowOff>
    </xdr:from>
    <xdr:to>
      <xdr:col>27</xdr:col>
      <xdr:colOff>66674</xdr:colOff>
      <xdr:row>18</xdr:row>
      <xdr:rowOff>180974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B7614FD-0C0C-4478-9899-7E21E43B1D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276225</xdr:colOff>
      <xdr:row>24</xdr:row>
      <xdr:rowOff>23812</xdr:rowOff>
    </xdr:from>
    <xdr:to>
      <xdr:col>15</xdr:col>
      <xdr:colOff>352425</xdr:colOff>
      <xdr:row>41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0ABA3B0-AD31-4BF1-8EEE-97F01EB1F6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24</xdr:row>
      <xdr:rowOff>14287</xdr:rowOff>
    </xdr:from>
    <xdr:to>
      <xdr:col>26</xdr:col>
      <xdr:colOff>361949</xdr:colOff>
      <xdr:row>41</xdr:row>
      <xdr:rowOff>85725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CFFA808-88C5-4562-BB09-AB952FD672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419099</xdr:colOff>
      <xdr:row>49</xdr:row>
      <xdr:rowOff>23811</xdr:rowOff>
    </xdr:from>
    <xdr:to>
      <xdr:col>15</xdr:col>
      <xdr:colOff>47624</xdr:colOff>
      <xdr:row>63</xdr:row>
      <xdr:rowOff>228599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DC392E5-3AD8-47AF-94A0-2D4C98B783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123824</xdr:colOff>
      <xdr:row>48</xdr:row>
      <xdr:rowOff>185737</xdr:rowOff>
    </xdr:from>
    <xdr:to>
      <xdr:col>26</xdr:col>
      <xdr:colOff>361949</xdr:colOff>
      <xdr:row>63</xdr:row>
      <xdr:rowOff>180975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24371C4-1DFB-4AA8-9562-F6EDC24726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361951</xdr:colOff>
      <xdr:row>67</xdr:row>
      <xdr:rowOff>204786</xdr:rowOff>
    </xdr:from>
    <xdr:to>
      <xdr:col>14</xdr:col>
      <xdr:colOff>581025</xdr:colOff>
      <xdr:row>85</xdr:row>
      <xdr:rowOff>76199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49406C4-C0C9-4111-9BA6-29067E1EFB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171449</xdr:colOff>
      <xdr:row>67</xdr:row>
      <xdr:rowOff>161925</xdr:rowOff>
    </xdr:from>
    <xdr:to>
      <xdr:col>27</xdr:col>
      <xdr:colOff>104774</xdr:colOff>
      <xdr:row>85</xdr:row>
      <xdr:rowOff>38100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9853B14-580E-4EA4-91C8-B69CD7EA3E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oneCellAnchor>
    <xdr:from>
      <xdr:col>21</xdr:col>
      <xdr:colOff>47625</xdr:colOff>
      <xdr:row>65</xdr:row>
      <xdr:rowOff>95250</xdr:rowOff>
    </xdr:from>
    <xdr:ext cx="3712683" cy="436786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685353F0-966B-4E73-925F-6C18851118CE}"/>
            </a:ext>
          </a:extLst>
        </xdr:cNvPr>
        <xdr:cNvSpPr txBox="1"/>
      </xdr:nvSpPr>
      <xdr:spPr>
        <a:xfrm>
          <a:off x="14830425" y="14630400"/>
          <a:ext cx="3712683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Note que a polinomial da empresa 2 projeta a maior redução </a:t>
          </a:r>
        </a:p>
        <a:p>
          <a:r>
            <a:rPr lang="pt-BR" sz="1100"/>
            <a:t>de faturamento</a:t>
          </a:r>
        </a:p>
      </xdr:txBody>
    </xdr:sp>
    <xdr:clientData/>
  </xdr:oneCellAnchor>
  <xdr:twoCellAnchor>
    <xdr:from>
      <xdr:col>19</xdr:col>
      <xdr:colOff>600075</xdr:colOff>
      <xdr:row>66</xdr:row>
      <xdr:rowOff>19050</xdr:rowOff>
    </xdr:from>
    <xdr:to>
      <xdr:col>21</xdr:col>
      <xdr:colOff>47625</xdr:colOff>
      <xdr:row>66</xdr:row>
      <xdr:rowOff>65993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B3EEED0E-CEDE-4AD7-9F62-897585FA93F5}"/>
            </a:ext>
          </a:extLst>
        </xdr:cNvPr>
        <xdr:cNvCxnSpPr>
          <a:stCxn id="10" idx="1"/>
        </xdr:cNvCxnSpPr>
      </xdr:nvCxnSpPr>
      <xdr:spPr>
        <a:xfrm flipH="1" flipV="1">
          <a:off x="14163675" y="14801850"/>
          <a:ext cx="666750" cy="469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48B3A-53D3-4219-8943-819438328C1F}">
  <dimension ref="C3:V103"/>
  <sheetViews>
    <sheetView tabSelected="1" zoomScale="120" zoomScaleNormal="120" workbookViewId="0">
      <selection activeCell="V25" sqref="V25"/>
    </sheetView>
  </sheetViews>
  <sheetFormatPr defaultRowHeight="15" x14ac:dyDescent="0.25"/>
  <cols>
    <col min="3" max="3" width="15.7109375" customWidth="1"/>
    <col min="4" max="4" width="16.42578125" customWidth="1"/>
    <col min="5" max="5" width="17.140625" customWidth="1"/>
  </cols>
  <sheetData>
    <row r="3" spans="3:5" ht="15.75" thickBot="1" x14ac:dyDescent="0.3"/>
    <row r="4" spans="3:5" x14ac:dyDescent="0.25">
      <c r="C4" s="11" t="s">
        <v>0</v>
      </c>
      <c r="D4" s="13" t="s">
        <v>1</v>
      </c>
      <c r="E4" s="1" t="s">
        <v>2</v>
      </c>
    </row>
    <row r="5" spans="3:5" ht="15.75" thickBot="1" x14ac:dyDescent="0.3">
      <c r="C5" s="12"/>
      <c r="D5" s="14"/>
      <c r="E5" s="2">
        <v>-1000000</v>
      </c>
    </row>
    <row r="6" spans="3:5" ht="19.5" thickBot="1" x14ac:dyDescent="0.3">
      <c r="C6" s="3">
        <v>1</v>
      </c>
      <c r="D6" s="4">
        <v>5.2</v>
      </c>
      <c r="E6" s="4">
        <v>5.8</v>
      </c>
    </row>
    <row r="7" spans="3:5" ht="19.5" thickBot="1" x14ac:dyDescent="0.3">
      <c r="C7" s="5">
        <v>2</v>
      </c>
      <c r="D7" s="6">
        <v>7.9</v>
      </c>
      <c r="E7" s="6">
        <v>7.2</v>
      </c>
    </row>
    <row r="8" spans="3:5" ht="19.5" thickBot="1" x14ac:dyDescent="0.3">
      <c r="C8" s="5">
        <v>3</v>
      </c>
      <c r="D8" s="6">
        <v>15.1</v>
      </c>
      <c r="E8" s="6">
        <v>15.9</v>
      </c>
    </row>
    <row r="9" spans="3:5" ht="19.5" thickBot="1" x14ac:dyDescent="0.3">
      <c r="C9" s="5">
        <v>4</v>
      </c>
      <c r="D9" s="6">
        <v>27.9</v>
      </c>
      <c r="E9" s="6">
        <v>21.9</v>
      </c>
    </row>
    <row r="10" spans="3:5" ht="19.5" thickBot="1" x14ac:dyDescent="0.3">
      <c r="C10" s="5">
        <v>5</v>
      </c>
      <c r="D10" s="6">
        <v>35.1</v>
      </c>
      <c r="E10" s="6">
        <v>31.5</v>
      </c>
    </row>
    <row r="11" spans="3:5" ht="19.5" thickBot="1" x14ac:dyDescent="0.3">
      <c r="C11" s="5">
        <v>6</v>
      </c>
      <c r="D11" s="6">
        <v>39.4</v>
      </c>
      <c r="E11" s="6">
        <v>36.799999999999997</v>
      </c>
    </row>
    <row r="12" spans="3:5" ht="19.5" thickBot="1" x14ac:dyDescent="0.3">
      <c r="C12" s="5">
        <v>7</v>
      </c>
      <c r="D12" s="6">
        <v>39.5</v>
      </c>
      <c r="E12" s="6">
        <v>39.700000000000003</v>
      </c>
    </row>
    <row r="13" spans="3:5" ht="19.5" thickBot="1" x14ac:dyDescent="0.3">
      <c r="C13" s="5">
        <v>8</v>
      </c>
      <c r="D13" s="6">
        <v>39.700000000000003</v>
      </c>
      <c r="E13" s="6">
        <v>40.9</v>
      </c>
    </row>
    <row r="14" spans="3:5" ht="19.5" thickBot="1" x14ac:dyDescent="0.3">
      <c r="C14" s="5">
        <v>9</v>
      </c>
      <c r="D14" s="6">
        <v>40.5</v>
      </c>
      <c r="E14" s="6">
        <v>41.9</v>
      </c>
    </row>
    <row r="15" spans="3:5" ht="19.5" thickBot="1" x14ac:dyDescent="0.3">
      <c r="C15" s="5">
        <v>10</v>
      </c>
      <c r="D15" s="6">
        <v>42.8</v>
      </c>
      <c r="E15" s="6">
        <v>43.9</v>
      </c>
    </row>
    <row r="16" spans="3:5" ht="19.5" thickBot="1" x14ac:dyDescent="0.3">
      <c r="C16" s="5">
        <v>11</v>
      </c>
      <c r="D16" s="6">
        <v>43.8</v>
      </c>
      <c r="E16" s="6">
        <v>43.9</v>
      </c>
    </row>
    <row r="17" spans="3:21" ht="19.5" thickBot="1" x14ac:dyDescent="0.3">
      <c r="C17" s="5">
        <v>12</v>
      </c>
      <c r="D17" s="6">
        <v>45.9</v>
      </c>
      <c r="E17" s="6">
        <v>45.4</v>
      </c>
    </row>
    <row r="18" spans="3:21" ht="19.5" thickBot="1" x14ac:dyDescent="0.3">
      <c r="C18" s="5">
        <v>13</v>
      </c>
      <c r="D18" s="6">
        <v>54.3</v>
      </c>
      <c r="E18" s="6">
        <v>55.8</v>
      </c>
    </row>
    <row r="19" spans="3:21" ht="19.5" thickBot="1" x14ac:dyDescent="0.3">
      <c r="C19" s="5">
        <v>14</v>
      </c>
      <c r="D19" s="6">
        <v>55.3</v>
      </c>
      <c r="E19" s="6">
        <v>54.9</v>
      </c>
    </row>
    <row r="20" spans="3:21" ht="19.5" thickBot="1" x14ac:dyDescent="0.3">
      <c r="C20" s="5">
        <v>15</v>
      </c>
      <c r="D20" s="6">
        <v>55.9</v>
      </c>
      <c r="E20" s="6">
        <v>53.8</v>
      </c>
    </row>
    <row r="21" spans="3:21" ht="19.5" thickBot="1" x14ac:dyDescent="0.3">
      <c r="C21" s="5">
        <v>16</v>
      </c>
      <c r="D21" s="6">
        <v>55.1</v>
      </c>
      <c r="E21" s="6">
        <v>56.8</v>
      </c>
    </row>
    <row r="22" spans="3:21" ht="19.5" thickBot="1" x14ac:dyDescent="0.3">
      <c r="C22" s="5">
        <v>17</v>
      </c>
      <c r="D22" s="6">
        <v>57.2</v>
      </c>
      <c r="E22" s="6">
        <v>57.9</v>
      </c>
      <c r="J22">
        <f>(2.124*24)+18.103</f>
        <v>69.079000000000008</v>
      </c>
      <c r="U22">
        <f>(((-0.1627*24^2)+(6.0295*24)+1.8302))</f>
        <v>52.822999999999986</v>
      </c>
    </row>
    <row r="23" spans="3:21" ht="19.5" thickBot="1" x14ac:dyDescent="0.3">
      <c r="C23" s="5">
        <v>18</v>
      </c>
      <c r="D23" s="6">
        <v>57.1</v>
      </c>
      <c r="E23" s="6">
        <v>57.8</v>
      </c>
      <c r="J23">
        <f>(2.124*25)+18.103</f>
        <v>71.203000000000003</v>
      </c>
      <c r="U23">
        <f>(((-0.1627*25^2)+(6.0295*25)+1.8302))</f>
        <v>50.880199999999981</v>
      </c>
    </row>
    <row r="24" spans="3:21" ht="19.5" thickBot="1" x14ac:dyDescent="0.3">
      <c r="C24" s="5">
        <v>19</v>
      </c>
      <c r="D24" s="6">
        <v>58.8</v>
      </c>
      <c r="E24" s="6">
        <v>56.9</v>
      </c>
    </row>
    <row r="25" spans="3:21" ht="19.5" thickBot="1" x14ac:dyDescent="0.3">
      <c r="C25" s="5">
        <v>20</v>
      </c>
      <c r="D25" s="6">
        <v>58.9</v>
      </c>
      <c r="E25" s="6">
        <v>57</v>
      </c>
    </row>
    <row r="26" spans="3:21" ht="19.5" thickBot="1" x14ac:dyDescent="0.3">
      <c r="C26" s="5">
        <v>21</v>
      </c>
      <c r="D26" s="6">
        <v>56.9</v>
      </c>
      <c r="E26" s="6">
        <v>56.2</v>
      </c>
    </row>
    <row r="27" spans="3:21" ht="19.5" thickBot="1" x14ac:dyDescent="0.3">
      <c r="C27" s="7">
        <v>22</v>
      </c>
      <c r="D27" s="8">
        <v>55.7</v>
      </c>
      <c r="E27" s="8">
        <v>54.7</v>
      </c>
    </row>
    <row r="28" spans="3:21" ht="19.5" thickBot="1" x14ac:dyDescent="0.3">
      <c r="C28" s="9">
        <v>23</v>
      </c>
      <c r="D28" s="10">
        <v>54.6</v>
      </c>
      <c r="E28" s="10">
        <v>53.8</v>
      </c>
    </row>
    <row r="49" spans="3:22" x14ac:dyDescent="0.25">
      <c r="V49">
        <f>15.863*EXP(0.0731*24)</f>
        <v>91.68780234214934</v>
      </c>
    </row>
    <row r="50" spans="3:22" x14ac:dyDescent="0.25">
      <c r="J50">
        <f>((19.094*LN(24)+0.748))</f>
        <v>61.429759836663678</v>
      </c>
      <c r="V50">
        <f>15.863*EXP(0.0731*25)</f>
        <v>98.641232472106992</v>
      </c>
    </row>
    <row r="51" spans="3:22" x14ac:dyDescent="0.25">
      <c r="J51">
        <f>((19.094*LN(25)+0.748))</f>
        <v>62.209215000033424</v>
      </c>
    </row>
    <row r="57" spans="3:22" ht="15.75" thickBot="1" x14ac:dyDescent="0.3"/>
    <row r="58" spans="3:22" x14ac:dyDescent="0.25">
      <c r="C58" s="11" t="s">
        <v>0</v>
      </c>
      <c r="D58" s="13" t="s">
        <v>1</v>
      </c>
      <c r="E58" s="1" t="s">
        <v>2</v>
      </c>
    </row>
    <row r="59" spans="3:22" ht="15.75" thickBot="1" x14ac:dyDescent="0.3">
      <c r="C59" s="12"/>
      <c r="D59" s="14"/>
      <c r="E59" s="2">
        <v>-1000000</v>
      </c>
    </row>
    <row r="60" spans="3:22" ht="19.5" thickBot="1" x14ac:dyDescent="0.3">
      <c r="C60" s="3">
        <v>1</v>
      </c>
      <c r="D60" s="4">
        <v>5.2</v>
      </c>
      <c r="E60" s="4">
        <v>5.8</v>
      </c>
    </row>
    <row r="61" spans="3:22" ht="19.5" thickBot="1" x14ac:dyDescent="0.3">
      <c r="C61" s="5">
        <v>2</v>
      </c>
      <c r="D61" s="6">
        <v>7.9</v>
      </c>
      <c r="E61" s="6">
        <v>7.2</v>
      </c>
    </row>
    <row r="62" spans="3:22" ht="19.5" thickBot="1" x14ac:dyDescent="0.3">
      <c r="C62" s="5">
        <v>3</v>
      </c>
      <c r="D62" s="6">
        <v>15.1</v>
      </c>
      <c r="E62" s="6">
        <v>15.9</v>
      </c>
    </row>
    <row r="63" spans="3:22" ht="19.5" thickBot="1" x14ac:dyDescent="0.3">
      <c r="C63" s="5">
        <v>4</v>
      </c>
      <c r="D63" s="6">
        <v>27.9</v>
      </c>
      <c r="E63" s="6">
        <v>21.9</v>
      </c>
    </row>
    <row r="64" spans="3:22" ht="19.5" thickBot="1" x14ac:dyDescent="0.3">
      <c r="C64" s="5">
        <v>5</v>
      </c>
      <c r="D64" s="6">
        <v>35.1</v>
      </c>
      <c r="E64" s="6">
        <v>31.5</v>
      </c>
    </row>
    <row r="65" spans="3:21" ht="19.5" thickBot="1" x14ac:dyDescent="0.3">
      <c r="C65" s="5">
        <v>6</v>
      </c>
      <c r="D65" s="6">
        <v>39.4</v>
      </c>
      <c r="E65" s="6">
        <v>36.799999999999997</v>
      </c>
    </row>
    <row r="66" spans="3:21" ht="19.5" thickBot="1" x14ac:dyDescent="0.3">
      <c r="C66" s="5">
        <v>7</v>
      </c>
      <c r="D66" s="6">
        <v>39.5</v>
      </c>
      <c r="E66" s="6">
        <v>39.700000000000003</v>
      </c>
    </row>
    <row r="67" spans="3:21" ht="19.5" thickBot="1" x14ac:dyDescent="0.3">
      <c r="C67" s="5">
        <v>8</v>
      </c>
      <c r="D67" s="6">
        <v>39.700000000000003</v>
      </c>
      <c r="E67" s="6">
        <v>40.9</v>
      </c>
    </row>
    <row r="68" spans="3:21" ht="19.5" thickBot="1" x14ac:dyDescent="0.3">
      <c r="C68" s="5">
        <v>9</v>
      </c>
      <c r="D68" s="6">
        <v>40.5</v>
      </c>
      <c r="E68" s="6">
        <v>41.9</v>
      </c>
    </row>
    <row r="69" spans="3:21" ht="19.5" thickBot="1" x14ac:dyDescent="0.3">
      <c r="C69" s="5">
        <v>10</v>
      </c>
      <c r="D69" s="6">
        <v>42.8</v>
      </c>
      <c r="E69" s="6">
        <v>43.9</v>
      </c>
    </row>
    <row r="70" spans="3:21" ht="19.5" thickBot="1" x14ac:dyDescent="0.3">
      <c r="C70" s="5">
        <v>11</v>
      </c>
      <c r="D70" s="6">
        <v>43.8</v>
      </c>
      <c r="E70" s="6">
        <v>43.9</v>
      </c>
    </row>
    <row r="71" spans="3:21" ht="19.5" thickBot="1" x14ac:dyDescent="0.3">
      <c r="C71" s="5">
        <v>12</v>
      </c>
      <c r="D71" s="6">
        <v>45.9</v>
      </c>
      <c r="E71" s="6">
        <v>45.4</v>
      </c>
    </row>
    <row r="72" spans="3:21" ht="19.5" thickBot="1" x14ac:dyDescent="0.3">
      <c r="C72" s="5">
        <v>13</v>
      </c>
      <c r="D72" s="6">
        <v>54.3</v>
      </c>
      <c r="E72" s="6">
        <v>55.8</v>
      </c>
    </row>
    <row r="73" spans="3:21" ht="19.5" thickBot="1" x14ac:dyDescent="0.3">
      <c r="C73" s="5">
        <v>14</v>
      </c>
      <c r="D73" s="6">
        <v>55.3</v>
      </c>
      <c r="E73" s="6">
        <v>54.9</v>
      </c>
    </row>
    <row r="74" spans="3:21" ht="19.5" thickBot="1" x14ac:dyDescent="0.3">
      <c r="C74" s="5">
        <v>15</v>
      </c>
      <c r="D74" s="6">
        <v>55.9</v>
      </c>
      <c r="E74" s="6">
        <v>53.8</v>
      </c>
    </row>
    <row r="75" spans="3:21" ht="19.5" thickBot="1" x14ac:dyDescent="0.3">
      <c r="C75" s="5">
        <v>16</v>
      </c>
      <c r="D75" s="6">
        <v>55.1</v>
      </c>
      <c r="E75" s="6">
        <v>56.8</v>
      </c>
      <c r="U75">
        <f>(((-0.1748*24^2)+(6.3428*24)-0.1989))</f>
        <v>51.343499999999999</v>
      </c>
    </row>
    <row r="76" spans="3:21" ht="19.5" thickBot="1" x14ac:dyDescent="0.3">
      <c r="C76" s="5">
        <v>17</v>
      </c>
      <c r="D76" s="6">
        <v>57.2</v>
      </c>
      <c r="E76" s="6">
        <v>57.9</v>
      </c>
      <c r="J76">
        <f>(2.1487*24)+17.276</f>
        <v>68.844799999999992</v>
      </c>
      <c r="U76">
        <f>(((-0.1748*25^2)+(6.3428*25)-0.1989))</f>
        <v>49.12110000000002</v>
      </c>
    </row>
    <row r="77" spans="3:21" ht="19.5" thickBot="1" x14ac:dyDescent="0.3">
      <c r="C77" s="5">
        <v>18</v>
      </c>
      <c r="D77" s="6">
        <v>57.1</v>
      </c>
      <c r="E77" s="6">
        <v>57.8</v>
      </c>
      <c r="J77">
        <f>(2.1487*25)+17.276</f>
        <v>70.993499999999997</v>
      </c>
    </row>
    <row r="78" spans="3:21" ht="19.5" thickBot="1" x14ac:dyDescent="0.3">
      <c r="C78" s="5">
        <v>19</v>
      </c>
      <c r="D78" s="6">
        <v>58.8</v>
      </c>
      <c r="E78" s="6">
        <v>56.9</v>
      </c>
    </row>
    <row r="79" spans="3:21" ht="19.5" thickBot="1" x14ac:dyDescent="0.3">
      <c r="C79" s="5">
        <v>20</v>
      </c>
      <c r="D79" s="6">
        <v>58.9</v>
      </c>
      <c r="E79" s="6">
        <v>57</v>
      </c>
    </row>
    <row r="80" spans="3:21" ht="19.5" thickBot="1" x14ac:dyDescent="0.3">
      <c r="C80" s="5">
        <v>21</v>
      </c>
      <c r="D80" s="6">
        <v>56.9</v>
      </c>
      <c r="E80" s="6">
        <v>56.2</v>
      </c>
    </row>
    <row r="81" spans="3:5" ht="19.5" thickBot="1" x14ac:dyDescent="0.3">
      <c r="C81" s="7">
        <v>22</v>
      </c>
      <c r="D81" s="8">
        <v>55.7</v>
      </c>
      <c r="E81" s="8">
        <v>54.7</v>
      </c>
    </row>
    <row r="82" spans="3:5" ht="19.5" thickBot="1" x14ac:dyDescent="0.3">
      <c r="C82" s="9">
        <v>23</v>
      </c>
      <c r="D82" s="10">
        <v>54.6</v>
      </c>
      <c r="E82" s="10">
        <v>53.8</v>
      </c>
    </row>
    <row r="101" spans="10:21" x14ac:dyDescent="0.25">
      <c r="U101">
        <f>15.396*EXP(0.0744*24)</f>
        <v>91.808761607673631</v>
      </c>
    </row>
    <row r="102" spans="10:21" x14ac:dyDescent="0.25">
      <c r="J102">
        <f>((19.314*LN(24)-0.2746))</f>
        <v>61.106331679340222</v>
      </c>
      <c r="U102">
        <f>15.396*EXP(0.0744*25)</f>
        <v>98.899851332922935</v>
      </c>
    </row>
    <row r="103" spans="10:21" x14ac:dyDescent="0.25">
      <c r="J103">
        <f>((19.314*LN(25)-0.2746))</f>
        <v>61.894767681504426</v>
      </c>
    </row>
  </sheetData>
  <mergeCells count="4">
    <mergeCell ref="C4:C5"/>
    <mergeCell ref="D4:D5"/>
    <mergeCell ref="C58:C59"/>
    <mergeCell ref="D58:D59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DB3CA-892C-4467-8AF1-BB8A9BB98B00}">
  <dimension ref="C3:T88"/>
  <sheetViews>
    <sheetView topLeftCell="C1" workbookViewId="0">
      <selection activeCell="J21" sqref="J21"/>
    </sheetView>
  </sheetViews>
  <sheetFormatPr defaultRowHeight="15" x14ac:dyDescent="0.25"/>
  <cols>
    <col min="3" max="3" width="17.28515625" customWidth="1"/>
    <col min="4" max="4" width="20.5703125" customWidth="1"/>
    <col min="5" max="5" width="19.28515625" customWidth="1"/>
  </cols>
  <sheetData>
    <row r="3" spans="3:5" ht="15.75" thickBot="1" x14ac:dyDescent="0.3"/>
    <row r="4" spans="3:5" x14ac:dyDescent="0.25">
      <c r="C4" s="11" t="s">
        <v>0</v>
      </c>
      <c r="D4" s="13" t="s">
        <v>1</v>
      </c>
      <c r="E4" s="1" t="s">
        <v>2</v>
      </c>
    </row>
    <row r="5" spans="3:5" ht="15.75" thickBot="1" x14ac:dyDescent="0.3">
      <c r="C5" s="12"/>
      <c r="D5" s="14"/>
      <c r="E5" s="2">
        <v>-1000000</v>
      </c>
    </row>
    <row r="6" spans="3:5" ht="19.5" thickBot="1" x14ac:dyDescent="0.3">
      <c r="C6" s="3">
        <v>1</v>
      </c>
      <c r="D6" s="4">
        <v>5.6</v>
      </c>
      <c r="E6" s="4">
        <v>5.9</v>
      </c>
    </row>
    <row r="7" spans="3:5" ht="19.5" thickBot="1" x14ac:dyDescent="0.3">
      <c r="C7" s="5">
        <v>2</v>
      </c>
      <c r="D7" s="6">
        <v>7.9</v>
      </c>
      <c r="E7" s="6">
        <v>7.3</v>
      </c>
    </row>
    <row r="8" spans="3:5" ht="19.5" thickBot="1" x14ac:dyDescent="0.3">
      <c r="C8" s="5">
        <v>3</v>
      </c>
      <c r="D8" s="6">
        <v>15.1</v>
      </c>
      <c r="E8" s="6">
        <v>15.8</v>
      </c>
    </row>
    <row r="9" spans="3:5" ht="19.5" thickBot="1" x14ac:dyDescent="0.3">
      <c r="C9" s="5">
        <v>4</v>
      </c>
      <c r="D9" s="6">
        <v>27.9</v>
      </c>
      <c r="E9" s="6">
        <v>21.9</v>
      </c>
    </row>
    <row r="10" spans="3:5" ht="19.5" thickBot="1" x14ac:dyDescent="0.3">
      <c r="C10" s="5">
        <v>5</v>
      </c>
      <c r="D10" s="6">
        <v>35.1</v>
      </c>
      <c r="E10" s="6">
        <v>31.5</v>
      </c>
    </row>
    <row r="11" spans="3:5" ht="19.5" thickBot="1" x14ac:dyDescent="0.3">
      <c r="C11" s="5">
        <v>6</v>
      </c>
      <c r="D11" s="6">
        <v>39.4</v>
      </c>
      <c r="E11" s="6">
        <v>36.799999999999997</v>
      </c>
    </row>
    <row r="12" spans="3:5" ht="19.5" thickBot="1" x14ac:dyDescent="0.3">
      <c r="C12" s="5">
        <v>7</v>
      </c>
      <c r="D12" s="6">
        <v>39.5</v>
      </c>
      <c r="E12" s="6">
        <v>39.700000000000003</v>
      </c>
    </row>
    <row r="13" spans="3:5" ht="19.5" thickBot="1" x14ac:dyDescent="0.3">
      <c r="C13" s="5">
        <v>8</v>
      </c>
      <c r="D13" s="6">
        <v>39.700000000000003</v>
      </c>
      <c r="E13" s="6">
        <v>40.9</v>
      </c>
    </row>
    <row r="14" spans="3:5" ht="19.5" thickBot="1" x14ac:dyDescent="0.3">
      <c r="C14" s="5">
        <v>9</v>
      </c>
      <c r="D14" s="6">
        <v>40.5</v>
      </c>
      <c r="E14" s="6">
        <v>41.9</v>
      </c>
    </row>
    <row r="15" spans="3:5" ht="19.5" thickBot="1" x14ac:dyDescent="0.3">
      <c r="C15" s="5">
        <v>10</v>
      </c>
      <c r="D15" s="6">
        <v>42.8</v>
      </c>
      <c r="E15" s="6">
        <v>43.9</v>
      </c>
    </row>
    <row r="16" spans="3:5" ht="19.5" thickBot="1" x14ac:dyDescent="0.3">
      <c r="C16" s="5">
        <v>11</v>
      </c>
      <c r="D16" s="6">
        <v>43.8</v>
      </c>
      <c r="E16" s="6">
        <v>43.9</v>
      </c>
    </row>
    <row r="17" spans="3:20" ht="19.5" thickBot="1" x14ac:dyDescent="0.3">
      <c r="C17" s="5">
        <v>12</v>
      </c>
      <c r="D17" s="6">
        <v>45.9</v>
      </c>
      <c r="E17" s="6">
        <v>45.4</v>
      </c>
    </row>
    <row r="18" spans="3:20" ht="19.5" thickBot="1" x14ac:dyDescent="0.3">
      <c r="C18" s="5">
        <v>13</v>
      </c>
      <c r="D18" s="6">
        <v>54.3</v>
      </c>
      <c r="E18" s="6">
        <v>55.8</v>
      </c>
    </row>
    <row r="19" spans="3:20" ht="19.5" thickBot="1" x14ac:dyDescent="0.3">
      <c r="C19" s="5">
        <v>14</v>
      </c>
      <c r="D19" s="6">
        <v>55.3</v>
      </c>
      <c r="E19" s="6">
        <v>54.9</v>
      </c>
    </row>
    <row r="20" spans="3:20" ht="19.5" thickBot="1" x14ac:dyDescent="0.3">
      <c r="C20" s="5">
        <v>15</v>
      </c>
      <c r="D20" s="6">
        <v>55.9</v>
      </c>
      <c r="E20" s="6">
        <v>53.8</v>
      </c>
      <c r="J20">
        <f>(2.1151*24)+18.206</f>
        <v>68.968400000000003</v>
      </c>
      <c r="T20">
        <f>(((-0.1625*24^2)+(6.014*24)+1.9602))</f>
        <v>52.696200000000005</v>
      </c>
    </row>
    <row r="21" spans="3:20" ht="19.5" thickBot="1" x14ac:dyDescent="0.3">
      <c r="C21" s="5">
        <v>16</v>
      </c>
      <c r="D21" s="6">
        <v>55.1</v>
      </c>
      <c r="E21" s="6">
        <v>56.8</v>
      </c>
      <c r="J21">
        <f>(2.1151*25)+18.206</f>
        <v>71.083500000000001</v>
      </c>
      <c r="T21">
        <f>(((-0.1625*25^2)+(6.014*25)+1.9602))</f>
        <v>50.747699999999995</v>
      </c>
    </row>
    <row r="22" spans="3:20" ht="19.5" thickBot="1" x14ac:dyDescent="0.3">
      <c r="C22" s="5">
        <v>17</v>
      </c>
      <c r="D22" s="6">
        <v>57.2</v>
      </c>
      <c r="E22" s="6">
        <v>57.9</v>
      </c>
    </row>
    <row r="23" spans="3:20" ht="19.5" thickBot="1" x14ac:dyDescent="0.3">
      <c r="C23" s="5">
        <v>18</v>
      </c>
      <c r="D23" s="6">
        <v>57.1</v>
      </c>
      <c r="E23" s="6">
        <v>57.7</v>
      </c>
    </row>
    <row r="24" spans="3:20" ht="19.5" thickBot="1" x14ac:dyDescent="0.3">
      <c r="C24" s="5">
        <v>19</v>
      </c>
      <c r="D24" s="6">
        <v>58.8</v>
      </c>
      <c r="E24" s="6">
        <v>56.8</v>
      </c>
    </row>
    <row r="25" spans="3:20" ht="19.5" thickBot="1" x14ac:dyDescent="0.3">
      <c r="C25" s="5">
        <v>20</v>
      </c>
      <c r="D25" s="6">
        <v>58.7</v>
      </c>
      <c r="E25" s="6">
        <v>57</v>
      </c>
    </row>
    <row r="26" spans="3:20" ht="19.5" thickBot="1" x14ac:dyDescent="0.3">
      <c r="C26" s="5">
        <v>21</v>
      </c>
      <c r="D26" s="6">
        <v>56.8</v>
      </c>
      <c r="E26" s="6">
        <v>56.1</v>
      </c>
    </row>
    <row r="27" spans="3:20" ht="19.5" thickBot="1" x14ac:dyDescent="0.3">
      <c r="C27" s="7">
        <v>22</v>
      </c>
      <c r="D27" s="8">
        <v>55.6</v>
      </c>
      <c r="E27" s="8">
        <v>54.6</v>
      </c>
    </row>
    <row r="28" spans="3:20" ht="19.5" thickBot="1" x14ac:dyDescent="0.3">
      <c r="C28" s="9">
        <v>23</v>
      </c>
      <c r="D28" s="10">
        <v>54.5</v>
      </c>
      <c r="E28" s="10">
        <v>53.7</v>
      </c>
    </row>
    <row r="44" spans="10:20" x14ac:dyDescent="0.25">
      <c r="J44">
        <f>((19.008*LN(24))+0.938)</f>
        <v>61.346447207253753</v>
      </c>
      <c r="T44">
        <f>16.078*EXP(0.0722*24)</f>
        <v>90.944722592159678</v>
      </c>
    </row>
    <row r="45" spans="10:20" x14ac:dyDescent="0.25">
      <c r="J45">
        <f>((19.008*LN(25))+0.938)</f>
        <v>62.122391679094754</v>
      </c>
      <c r="T45">
        <f>16.078*EXP(0.0722*25)</f>
        <v>97.753780949309999</v>
      </c>
    </row>
    <row r="49" spans="3:5" ht="15.75" thickBot="1" x14ac:dyDescent="0.3"/>
    <row r="50" spans="3:5" x14ac:dyDescent="0.25">
      <c r="C50" s="11" t="s">
        <v>0</v>
      </c>
      <c r="D50" s="13" t="s">
        <v>1</v>
      </c>
      <c r="E50" s="1" t="s">
        <v>2</v>
      </c>
    </row>
    <row r="51" spans="3:5" ht="15.75" thickBot="1" x14ac:dyDescent="0.3">
      <c r="C51" s="12"/>
      <c r="D51" s="14"/>
      <c r="E51" s="2">
        <v>-1000000</v>
      </c>
    </row>
    <row r="52" spans="3:5" ht="19.5" thickBot="1" x14ac:dyDescent="0.3">
      <c r="C52" s="3">
        <v>1</v>
      </c>
      <c r="D52" s="4">
        <v>5.6</v>
      </c>
      <c r="E52" s="4">
        <v>5.9</v>
      </c>
    </row>
    <row r="53" spans="3:5" ht="19.5" thickBot="1" x14ac:dyDescent="0.3">
      <c r="C53" s="5">
        <v>2</v>
      </c>
      <c r="D53" s="6">
        <v>7.9</v>
      </c>
      <c r="E53" s="6">
        <v>7.3</v>
      </c>
    </row>
    <row r="54" spans="3:5" ht="19.5" thickBot="1" x14ac:dyDescent="0.3">
      <c r="C54" s="5">
        <v>3</v>
      </c>
      <c r="D54" s="6">
        <v>15.1</v>
      </c>
      <c r="E54" s="6">
        <v>15.8</v>
      </c>
    </row>
    <row r="55" spans="3:5" ht="19.5" thickBot="1" x14ac:dyDescent="0.3">
      <c r="C55" s="5">
        <v>4</v>
      </c>
      <c r="D55" s="6">
        <v>27.9</v>
      </c>
      <c r="E55" s="6">
        <v>21.9</v>
      </c>
    </row>
    <row r="56" spans="3:5" ht="19.5" thickBot="1" x14ac:dyDescent="0.3">
      <c r="C56" s="5">
        <v>5</v>
      </c>
      <c r="D56" s="6">
        <v>35.1</v>
      </c>
      <c r="E56" s="6">
        <v>31.5</v>
      </c>
    </row>
    <row r="57" spans="3:5" ht="19.5" thickBot="1" x14ac:dyDescent="0.3">
      <c r="C57" s="5">
        <v>6</v>
      </c>
      <c r="D57" s="6">
        <v>39.4</v>
      </c>
      <c r="E57" s="6">
        <v>36.799999999999997</v>
      </c>
    </row>
    <row r="58" spans="3:5" ht="19.5" thickBot="1" x14ac:dyDescent="0.3">
      <c r="C58" s="5">
        <v>7</v>
      </c>
      <c r="D58" s="6">
        <v>39.5</v>
      </c>
      <c r="E58" s="6">
        <v>39.700000000000003</v>
      </c>
    </row>
    <row r="59" spans="3:5" ht="19.5" thickBot="1" x14ac:dyDescent="0.3">
      <c r="C59" s="5">
        <v>8</v>
      </c>
      <c r="D59" s="6">
        <v>39.700000000000003</v>
      </c>
      <c r="E59" s="6">
        <v>40.9</v>
      </c>
    </row>
    <row r="60" spans="3:5" ht="19.5" thickBot="1" x14ac:dyDescent="0.3">
      <c r="C60" s="5">
        <v>9</v>
      </c>
      <c r="D60" s="6">
        <v>40.5</v>
      </c>
      <c r="E60" s="6">
        <v>41.9</v>
      </c>
    </row>
    <row r="61" spans="3:5" ht="19.5" thickBot="1" x14ac:dyDescent="0.3">
      <c r="C61" s="5">
        <v>10</v>
      </c>
      <c r="D61" s="6">
        <v>42.8</v>
      </c>
      <c r="E61" s="6">
        <v>43.9</v>
      </c>
    </row>
    <row r="62" spans="3:5" ht="19.5" thickBot="1" x14ac:dyDescent="0.3">
      <c r="C62" s="5">
        <v>11</v>
      </c>
      <c r="D62" s="6">
        <v>43.8</v>
      </c>
      <c r="E62" s="6">
        <v>43.9</v>
      </c>
    </row>
    <row r="63" spans="3:5" ht="19.5" thickBot="1" x14ac:dyDescent="0.3">
      <c r="C63" s="5">
        <v>12</v>
      </c>
      <c r="D63" s="6">
        <v>45.9</v>
      </c>
      <c r="E63" s="6">
        <v>45.4</v>
      </c>
    </row>
    <row r="64" spans="3:5" ht="19.5" thickBot="1" x14ac:dyDescent="0.3">
      <c r="C64" s="5">
        <v>13</v>
      </c>
      <c r="D64" s="6">
        <v>54.3</v>
      </c>
      <c r="E64" s="6">
        <v>55.8</v>
      </c>
    </row>
    <row r="65" spans="3:20" ht="19.5" thickBot="1" x14ac:dyDescent="0.3">
      <c r="C65" s="5">
        <v>14</v>
      </c>
      <c r="D65" s="6">
        <v>55.3</v>
      </c>
      <c r="E65" s="6">
        <v>54.9</v>
      </c>
    </row>
    <row r="66" spans="3:20" ht="19.5" thickBot="1" x14ac:dyDescent="0.3">
      <c r="C66" s="5">
        <v>15</v>
      </c>
      <c r="D66" s="6">
        <v>55.9</v>
      </c>
      <c r="E66" s="6">
        <v>53.8</v>
      </c>
      <c r="J66">
        <f>(2.1433*24)+17.324</f>
        <v>68.763199999999998</v>
      </c>
      <c r="T66">
        <f>(((-0.175*24^2)+(6.3421*24)-0.1711))</f>
        <v>51.239299999999993</v>
      </c>
    </row>
    <row r="67" spans="3:20" ht="19.5" thickBot="1" x14ac:dyDescent="0.3">
      <c r="C67" s="5">
        <v>16</v>
      </c>
      <c r="D67" s="6">
        <v>55.1</v>
      </c>
      <c r="E67" s="6">
        <v>56.8</v>
      </c>
      <c r="J67">
        <f>(2.1433*25)+17.324</f>
        <v>70.906499999999994</v>
      </c>
      <c r="T67">
        <f>(((-0.175*25^2)+(6.3421*25)-0.1711))</f>
        <v>49.006400000000006</v>
      </c>
    </row>
    <row r="68" spans="3:20" ht="19.5" thickBot="1" x14ac:dyDescent="0.3">
      <c r="C68" s="5">
        <v>17</v>
      </c>
      <c r="D68" s="6">
        <v>57.2</v>
      </c>
      <c r="E68" s="6">
        <v>57.9</v>
      </c>
    </row>
    <row r="69" spans="3:20" ht="19.5" thickBot="1" x14ac:dyDescent="0.3">
      <c r="C69" s="5">
        <v>18</v>
      </c>
      <c r="D69" s="6">
        <v>57.1</v>
      </c>
      <c r="E69" s="6">
        <v>57.7</v>
      </c>
    </row>
    <row r="70" spans="3:20" ht="19.5" thickBot="1" x14ac:dyDescent="0.3">
      <c r="C70" s="5">
        <v>19</v>
      </c>
      <c r="D70" s="6">
        <v>58.8</v>
      </c>
      <c r="E70" s="6">
        <v>56.8</v>
      </c>
    </row>
    <row r="71" spans="3:20" ht="19.5" thickBot="1" x14ac:dyDescent="0.3">
      <c r="C71" s="5">
        <v>20</v>
      </c>
      <c r="D71" s="6">
        <v>58.7</v>
      </c>
      <c r="E71" s="6">
        <v>57</v>
      </c>
    </row>
    <row r="72" spans="3:20" ht="19.5" thickBot="1" x14ac:dyDescent="0.3">
      <c r="C72" s="5">
        <v>21</v>
      </c>
      <c r="D72" s="6">
        <v>56.8</v>
      </c>
      <c r="E72" s="6">
        <v>56.1</v>
      </c>
    </row>
    <row r="73" spans="3:20" ht="19.5" thickBot="1" x14ac:dyDescent="0.3">
      <c r="C73" s="7">
        <v>22</v>
      </c>
      <c r="D73" s="8">
        <v>55.6</v>
      </c>
      <c r="E73" s="8">
        <v>54.6</v>
      </c>
    </row>
    <row r="74" spans="3:20" ht="19.5" thickBot="1" x14ac:dyDescent="0.3">
      <c r="C74" s="9">
        <v>23</v>
      </c>
      <c r="D74" s="10">
        <v>54.5</v>
      </c>
      <c r="E74" s="10">
        <v>53.7</v>
      </c>
    </row>
    <row r="87" spans="10:20" x14ac:dyDescent="0.25">
      <c r="J87">
        <f>((19.27*LN(24))-0.1944)</f>
        <v>61.046697310804909</v>
      </c>
      <c r="T87">
        <f>15.47*EXP(0.074*24)</f>
        <v>91.368672181925305</v>
      </c>
    </row>
    <row r="88" spans="10:20" x14ac:dyDescent="0.25">
      <c r="J88">
        <f>((19.27*LN(25))-0.1944)</f>
        <v>61.833337145210223</v>
      </c>
      <c r="T88">
        <f>15.47*EXP(0.074*25)</f>
        <v>98.386408014650328</v>
      </c>
    </row>
  </sheetData>
  <mergeCells count="4">
    <mergeCell ref="C4:C5"/>
    <mergeCell ref="D4:D5"/>
    <mergeCell ref="C50:C51"/>
    <mergeCell ref="D50:D5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Correção Modelo 1</vt:lpstr>
      <vt:lpstr>Correção Modelo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Demerval Luiz Polizelli</dc:creator>
  <cp:lastModifiedBy>Demerval Luiz Polizelli</cp:lastModifiedBy>
  <dcterms:created xsi:type="dcterms:W3CDTF">2019-05-23T11:43:11Z</dcterms:created>
  <dcterms:modified xsi:type="dcterms:W3CDTF">2019-05-23T14:30:19Z</dcterms:modified>
</cp:coreProperties>
</file>