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po\Desktop\"/>
    </mc:Choice>
  </mc:AlternateContent>
  <xr:revisionPtr revIDLastSave="0" documentId="8_{2369FFB5-4B57-4440-A613-A9E490C0868F}" xr6:coauthVersionLast="43" xr6:coauthVersionMax="43" xr10:uidLastSave="{00000000-0000-0000-0000-000000000000}"/>
  <bookViews>
    <workbookView xWindow="-120" yWindow="-120" windowWidth="29040" windowHeight="15840" activeTab="4" xr2:uid="{F58D6EAF-1E4A-441D-A982-CB6A0A1097E9}"/>
  </bookViews>
  <sheets>
    <sheet name="Gabarito Exercícios Regressão" sheetId="1" r:id="rId1"/>
    <sheet name="Exercícios de Regressã" sheetId="2" r:id="rId2"/>
    <sheet name="Gabarito exercícios" sheetId="3" r:id="rId3"/>
    <sheet name="Exercícios de regressão" sheetId="4" r:id="rId4"/>
    <sheet name="Gabarito Participação conjunta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5" i="5" l="1"/>
  <c r="G34" i="5"/>
  <c r="D35" i="5"/>
  <c r="D34" i="5"/>
  <c r="E45" i="3"/>
  <c r="E44" i="3"/>
  <c r="D45" i="3"/>
  <c r="D44" i="3"/>
  <c r="E53" i="1"/>
  <c r="D53" i="1"/>
  <c r="E52" i="1"/>
  <c r="D52" i="1"/>
</calcChain>
</file>

<file path=xl/sharedStrings.xml><?xml version="1.0" encoding="utf-8"?>
<sst xmlns="http://schemas.openxmlformats.org/spreadsheetml/2006/main" count="45" uniqueCount="8">
  <si>
    <t>Períodos (meses)</t>
  </si>
  <si>
    <t>Desde janeiro de 2017</t>
  </si>
  <si>
    <t>Receita de vendas</t>
  </si>
  <si>
    <t>Empresa Glamour</t>
  </si>
  <si>
    <t>Comércio Eletrônico (1)</t>
  </si>
  <si>
    <t xml:space="preserve">Empresa </t>
  </si>
  <si>
    <t>Street Fashion</t>
  </si>
  <si>
    <t xml:space="preserve">Participação conjunta no mercado 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</si>
</sst>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1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0" fillId="0" borderId="3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Glamour em função de</a:t>
            </a:r>
            <a:r>
              <a:rPr lang="en-US" baseline="0"/>
              <a:t> </a:t>
            </a:r>
            <a:r>
              <a:rPr lang="en-US"/>
              <a:t>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Receita Glamaour em função d etempo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870122866024064"/>
                  <c:y val="-2.45800209752877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20416848890152742"/>
                  <c:y val="-1.35798266194323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'Gabarito Exercícios Regressão'!$D$13:$D$33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'Gabarito Exercícios Regressão'!$E$13:$E$33</c:f>
              <c:numCache>
                <c:formatCode>General</c:formatCode>
                <c:ptCount val="21"/>
                <c:pt idx="0">
                  <c:v>4.0999999999999996</c:v>
                </c:pt>
                <c:pt idx="1">
                  <c:v>5.8</c:v>
                </c:pt>
                <c:pt idx="2">
                  <c:v>14.3</c:v>
                </c:pt>
                <c:pt idx="3">
                  <c:v>26.9</c:v>
                </c:pt>
                <c:pt idx="4">
                  <c:v>34.200000000000003</c:v>
                </c:pt>
                <c:pt idx="5">
                  <c:v>38.4</c:v>
                </c:pt>
                <c:pt idx="6">
                  <c:v>39.5</c:v>
                </c:pt>
                <c:pt idx="7">
                  <c:v>39.6</c:v>
                </c:pt>
                <c:pt idx="8">
                  <c:v>40.700000000000003</c:v>
                </c:pt>
                <c:pt idx="9">
                  <c:v>42.2</c:v>
                </c:pt>
                <c:pt idx="10">
                  <c:v>43.8</c:v>
                </c:pt>
                <c:pt idx="11">
                  <c:v>45.6</c:v>
                </c:pt>
                <c:pt idx="12">
                  <c:v>54.3</c:v>
                </c:pt>
                <c:pt idx="13">
                  <c:v>55.2</c:v>
                </c:pt>
                <c:pt idx="14">
                  <c:v>55.9</c:v>
                </c:pt>
                <c:pt idx="15">
                  <c:v>55.9</c:v>
                </c:pt>
                <c:pt idx="16">
                  <c:v>57.2</c:v>
                </c:pt>
                <c:pt idx="17">
                  <c:v>58.9</c:v>
                </c:pt>
                <c:pt idx="18">
                  <c:v>59.5</c:v>
                </c:pt>
                <c:pt idx="19">
                  <c:v>58.5</c:v>
                </c:pt>
                <c:pt idx="20">
                  <c:v>56.9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E9-455D-8311-F3B068F1C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702264"/>
        <c:axId val="450702592"/>
      </c:scatterChart>
      <c:valAx>
        <c:axId val="450702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0702592"/>
        <c:crosses val="autoZero"/>
        <c:crossBetween val="midCat"/>
      </c:valAx>
      <c:valAx>
        <c:axId val="45070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0702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Receita Glamour em função do tempo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3190877963028886"/>
                  <c:y val="1.8493925773914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'Gabarito Exercícios Regressão'!$D$13:$D$33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'Gabarito Exercícios Regressão'!$E$13:$E$33</c:f>
              <c:numCache>
                <c:formatCode>General</c:formatCode>
                <c:ptCount val="21"/>
                <c:pt idx="0">
                  <c:v>4.0999999999999996</c:v>
                </c:pt>
                <c:pt idx="1">
                  <c:v>5.8</c:v>
                </c:pt>
                <c:pt idx="2">
                  <c:v>14.3</c:v>
                </c:pt>
                <c:pt idx="3">
                  <c:v>26.9</c:v>
                </c:pt>
                <c:pt idx="4">
                  <c:v>34.200000000000003</c:v>
                </c:pt>
                <c:pt idx="5">
                  <c:v>38.4</c:v>
                </c:pt>
                <c:pt idx="6">
                  <c:v>39.5</c:v>
                </c:pt>
                <c:pt idx="7">
                  <c:v>39.6</c:v>
                </c:pt>
                <c:pt idx="8">
                  <c:v>40.700000000000003</c:v>
                </c:pt>
                <c:pt idx="9">
                  <c:v>42.2</c:v>
                </c:pt>
                <c:pt idx="10">
                  <c:v>43.8</c:v>
                </c:pt>
                <c:pt idx="11">
                  <c:v>45.6</c:v>
                </c:pt>
                <c:pt idx="12">
                  <c:v>54.3</c:v>
                </c:pt>
                <c:pt idx="13">
                  <c:v>55.2</c:v>
                </c:pt>
                <c:pt idx="14">
                  <c:v>55.9</c:v>
                </c:pt>
                <c:pt idx="15">
                  <c:v>55.9</c:v>
                </c:pt>
                <c:pt idx="16">
                  <c:v>57.2</c:v>
                </c:pt>
                <c:pt idx="17">
                  <c:v>58.9</c:v>
                </c:pt>
                <c:pt idx="18">
                  <c:v>59.5</c:v>
                </c:pt>
                <c:pt idx="19">
                  <c:v>58.5</c:v>
                </c:pt>
                <c:pt idx="20">
                  <c:v>56.9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8D-42BA-93DB-BF8BBE69D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692576"/>
        <c:axId val="577690936"/>
      </c:scatterChart>
      <c:valAx>
        <c:axId val="57769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7690936"/>
        <c:crosses val="autoZero"/>
        <c:crossBetween val="midCat"/>
      </c:valAx>
      <c:valAx>
        <c:axId val="57769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769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SF; Receita em função do tempo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919522254840097"/>
                  <c:y val="-4.56959052623477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'Gabarito exercícios'!$E$10:$E$30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'Gabarito exercícios'!$G$10:$G$30</c:f>
              <c:numCache>
                <c:formatCode>General</c:formatCode>
                <c:ptCount val="21"/>
                <c:pt idx="0">
                  <c:v>4.9000000000000004</c:v>
                </c:pt>
                <c:pt idx="1">
                  <c:v>6.1</c:v>
                </c:pt>
                <c:pt idx="2">
                  <c:v>14.2</c:v>
                </c:pt>
                <c:pt idx="3">
                  <c:v>19.899999999999999</c:v>
                </c:pt>
                <c:pt idx="4">
                  <c:v>31.5</c:v>
                </c:pt>
                <c:pt idx="5">
                  <c:v>36.799999999999997</c:v>
                </c:pt>
                <c:pt idx="6">
                  <c:v>38.700000000000003</c:v>
                </c:pt>
                <c:pt idx="7">
                  <c:v>40.299999999999997</c:v>
                </c:pt>
                <c:pt idx="8">
                  <c:v>40.9</c:v>
                </c:pt>
                <c:pt idx="9">
                  <c:v>42</c:v>
                </c:pt>
                <c:pt idx="10">
                  <c:v>43.9</c:v>
                </c:pt>
                <c:pt idx="11">
                  <c:v>45.4</c:v>
                </c:pt>
                <c:pt idx="12">
                  <c:v>52.8</c:v>
                </c:pt>
                <c:pt idx="13">
                  <c:v>54.3</c:v>
                </c:pt>
                <c:pt idx="14">
                  <c:v>53.8</c:v>
                </c:pt>
                <c:pt idx="15">
                  <c:v>56.1</c:v>
                </c:pt>
                <c:pt idx="16">
                  <c:v>56.9</c:v>
                </c:pt>
                <c:pt idx="17">
                  <c:v>58.1</c:v>
                </c:pt>
                <c:pt idx="18">
                  <c:v>56.1</c:v>
                </c:pt>
                <c:pt idx="19">
                  <c:v>59.1</c:v>
                </c:pt>
                <c:pt idx="20">
                  <c:v>56.3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5D-44D0-AE01-BF3A0B3D1BBA}"/>
            </c:ext>
          </c:extLst>
        </c:ser>
        <c:ser>
          <c:idx val="1"/>
          <c:order val="1"/>
          <c:tx>
            <c:v>Receita em função de tempo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51558725890970947"/>
                  <c:y val="0.173575843372393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'Gabarito exercícios'!$E$10:$E$30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'Gabarito exercícios'!$G$10:$G$30</c:f>
              <c:numCache>
                <c:formatCode>General</c:formatCode>
                <c:ptCount val="21"/>
                <c:pt idx="0">
                  <c:v>4.9000000000000004</c:v>
                </c:pt>
                <c:pt idx="1">
                  <c:v>6.1</c:v>
                </c:pt>
                <c:pt idx="2">
                  <c:v>14.2</c:v>
                </c:pt>
                <c:pt idx="3">
                  <c:v>19.899999999999999</c:v>
                </c:pt>
                <c:pt idx="4">
                  <c:v>31.5</c:v>
                </c:pt>
                <c:pt idx="5">
                  <c:v>36.799999999999997</c:v>
                </c:pt>
                <c:pt idx="6">
                  <c:v>38.700000000000003</c:v>
                </c:pt>
                <c:pt idx="7">
                  <c:v>40.299999999999997</c:v>
                </c:pt>
                <c:pt idx="8">
                  <c:v>40.9</c:v>
                </c:pt>
                <c:pt idx="9">
                  <c:v>42</c:v>
                </c:pt>
                <c:pt idx="10">
                  <c:v>43.9</c:v>
                </c:pt>
                <c:pt idx="11">
                  <c:v>45.4</c:v>
                </c:pt>
                <c:pt idx="12">
                  <c:v>52.8</c:v>
                </c:pt>
                <c:pt idx="13">
                  <c:v>54.3</c:v>
                </c:pt>
                <c:pt idx="14">
                  <c:v>53.8</c:v>
                </c:pt>
                <c:pt idx="15">
                  <c:v>56.1</c:v>
                </c:pt>
                <c:pt idx="16">
                  <c:v>56.9</c:v>
                </c:pt>
                <c:pt idx="17">
                  <c:v>58.1</c:v>
                </c:pt>
                <c:pt idx="18">
                  <c:v>56.1</c:v>
                </c:pt>
                <c:pt idx="19">
                  <c:v>59.1</c:v>
                </c:pt>
                <c:pt idx="20">
                  <c:v>56.3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5D-44D0-AE01-BF3A0B3D1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779264"/>
        <c:axId val="567772048"/>
      </c:scatterChart>
      <c:valAx>
        <c:axId val="56777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7772048"/>
        <c:crosses val="autoZero"/>
        <c:crossBetween val="midCat"/>
      </c:valAx>
      <c:valAx>
        <c:axId val="56777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777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SF: receita em função de tempo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5487788735434757"/>
                  <c:y val="-9.82073274833554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'Gabarito exercícios'!$E$10:$E$30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'Gabarito exercícios'!$G$10:$G$30</c:f>
              <c:numCache>
                <c:formatCode>General</c:formatCode>
                <c:ptCount val="21"/>
                <c:pt idx="0">
                  <c:v>4.9000000000000004</c:v>
                </c:pt>
                <c:pt idx="1">
                  <c:v>6.1</c:v>
                </c:pt>
                <c:pt idx="2">
                  <c:v>14.2</c:v>
                </c:pt>
                <c:pt idx="3">
                  <c:v>19.899999999999999</c:v>
                </c:pt>
                <c:pt idx="4">
                  <c:v>31.5</c:v>
                </c:pt>
                <c:pt idx="5">
                  <c:v>36.799999999999997</c:v>
                </c:pt>
                <c:pt idx="6">
                  <c:v>38.700000000000003</c:v>
                </c:pt>
                <c:pt idx="7">
                  <c:v>40.299999999999997</c:v>
                </c:pt>
                <c:pt idx="8">
                  <c:v>40.9</c:v>
                </c:pt>
                <c:pt idx="9">
                  <c:v>42</c:v>
                </c:pt>
                <c:pt idx="10">
                  <c:v>43.9</c:v>
                </c:pt>
                <c:pt idx="11">
                  <c:v>45.4</c:v>
                </c:pt>
                <c:pt idx="12">
                  <c:v>52.8</c:v>
                </c:pt>
                <c:pt idx="13">
                  <c:v>54.3</c:v>
                </c:pt>
                <c:pt idx="14">
                  <c:v>53.8</c:v>
                </c:pt>
                <c:pt idx="15">
                  <c:v>56.1</c:v>
                </c:pt>
                <c:pt idx="16">
                  <c:v>56.9</c:v>
                </c:pt>
                <c:pt idx="17">
                  <c:v>58.1</c:v>
                </c:pt>
                <c:pt idx="18">
                  <c:v>56.1</c:v>
                </c:pt>
                <c:pt idx="19">
                  <c:v>59.1</c:v>
                </c:pt>
                <c:pt idx="20">
                  <c:v>56.3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D2-4C2D-B0DC-97087ACAD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190296"/>
        <c:axId val="399190624"/>
      </c:scatterChart>
      <c:valAx>
        <c:axId val="399190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9190624"/>
        <c:crosses val="autoZero"/>
        <c:crossBetween val="midCat"/>
      </c:valAx>
      <c:valAx>
        <c:axId val="39919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9190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Participação em função do tempo Lineae</a:t>
            </a:r>
            <a:r>
              <a:rPr lang="en-US" baseline="0"/>
              <a:t> e logaritimca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Participação em função do tempo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30382973343928338"/>
                  <c:y val="8.00608391234814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'Gabarito Participação conjunta '!$D$11:$D$31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'Gabarito Participação conjunta '!$G$11:$G$31</c:f>
              <c:numCache>
                <c:formatCode>General</c:formatCode>
                <c:ptCount val="21"/>
                <c:pt idx="0">
                  <c:v>0.9</c:v>
                </c:pt>
                <c:pt idx="1">
                  <c:v>1.19</c:v>
                </c:pt>
                <c:pt idx="2">
                  <c:v>2.85</c:v>
                </c:pt>
                <c:pt idx="3">
                  <c:v>4.68</c:v>
                </c:pt>
                <c:pt idx="4">
                  <c:v>6.57</c:v>
                </c:pt>
                <c:pt idx="5">
                  <c:v>7.52</c:v>
                </c:pt>
                <c:pt idx="6">
                  <c:v>7.82</c:v>
                </c:pt>
                <c:pt idx="7">
                  <c:v>7.99</c:v>
                </c:pt>
                <c:pt idx="8">
                  <c:v>8.16</c:v>
                </c:pt>
                <c:pt idx="9">
                  <c:v>8.42</c:v>
                </c:pt>
                <c:pt idx="10">
                  <c:v>7.31</c:v>
                </c:pt>
                <c:pt idx="11">
                  <c:v>7.58</c:v>
                </c:pt>
                <c:pt idx="12">
                  <c:v>8.93</c:v>
                </c:pt>
                <c:pt idx="13">
                  <c:v>9.1300000000000008</c:v>
                </c:pt>
                <c:pt idx="14">
                  <c:v>9.14</c:v>
                </c:pt>
                <c:pt idx="15">
                  <c:v>9.33</c:v>
                </c:pt>
                <c:pt idx="16">
                  <c:v>9.51</c:v>
                </c:pt>
                <c:pt idx="17">
                  <c:v>9.75</c:v>
                </c:pt>
                <c:pt idx="18">
                  <c:v>9.6300000000000008</c:v>
                </c:pt>
                <c:pt idx="19">
                  <c:v>9.8000000000000007</c:v>
                </c:pt>
                <c:pt idx="20">
                  <c:v>8.7100000000000009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ED-408B-A7AB-F1872C402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648232"/>
        <c:axId val="570659712"/>
      </c:scatterChart>
      <c:valAx>
        <c:axId val="570648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0659712"/>
        <c:crosses val="autoZero"/>
        <c:crossBetween val="midCat"/>
      </c:valAx>
      <c:valAx>
        <c:axId val="57065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0648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Participação conjunta em função do tempo (polinomial e exponencial)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Participação conjunta em função do tempo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9227959825504718"/>
                  <c:y val="-5.97151672192262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9.4851569755191545E-2"/>
                  <c:y val="-4.07533584991483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'Gabarito Participação conjunta '!$D$11:$D$31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'Gabarito Participação conjunta '!$G$11:$G$31</c:f>
              <c:numCache>
                <c:formatCode>General</c:formatCode>
                <c:ptCount val="21"/>
                <c:pt idx="0">
                  <c:v>0.9</c:v>
                </c:pt>
                <c:pt idx="1">
                  <c:v>1.19</c:v>
                </c:pt>
                <c:pt idx="2">
                  <c:v>2.85</c:v>
                </c:pt>
                <c:pt idx="3">
                  <c:v>4.68</c:v>
                </c:pt>
                <c:pt idx="4">
                  <c:v>6.57</c:v>
                </c:pt>
                <c:pt idx="5">
                  <c:v>7.52</c:v>
                </c:pt>
                <c:pt idx="6">
                  <c:v>7.82</c:v>
                </c:pt>
                <c:pt idx="7">
                  <c:v>7.99</c:v>
                </c:pt>
                <c:pt idx="8">
                  <c:v>8.16</c:v>
                </c:pt>
                <c:pt idx="9">
                  <c:v>8.42</c:v>
                </c:pt>
                <c:pt idx="10">
                  <c:v>7.31</c:v>
                </c:pt>
                <c:pt idx="11">
                  <c:v>7.58</c:v>
                </c:pt>
                <c:pt idx="12">
                  <c:v>8.93</c:v>
                </c:pt>
                <c:pt idx="13">
                  <c:v>9.1300000000000008</c:v>
                </c:pt>
                <c:pt idx="14">
                  <c:v>9.14</c:v>
                </c:pt>
                <c:pt idx="15">
                  <c:v>9.33</c:v>
                </c:pt>
                <c:pt idx="16">
                  <c:v>9.51</c:v>
                </c:pt>
                <c:pt idx="17">
                  <c:v>9.75</c:v>
                </c:pt>
                <c:pt idx="18">
                  <c:v>9.6300000000000008</c:v>
                </c:pt>
                <c:pt idx="19">
                  <c:v>9.8000000000000007</c:v>
                </c:pt>
                <c:pt idx="20">
                  <c:v>8.7100000000000009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CA-4098-9C19-EE9A159F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866264"/>
        <c:axId val="607415232"/>
      </c:scatterChart>
      <c:valAx>
        <c:axId val="570866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7415232"/>
        <c:crosses val="autoZero"/>
        <c:crossBetween val="midCat"/>
      </c:valAx>
      <c:valAx>
        <c:axId val="60741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0866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495300</xdr:colOff>
      <xdr:row>0</xdr:row>
      <xdr:rowOff>180975</xdr:rowOff>
    </xdr:from>
    <xdr:ext cx="11401263" cy="1015919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D346875-E33C-446B-84E8-76577553A749}"/>
            </a:ext>
          </a:extLst>
        </xdr:cNvPr>
        <xdr:cNvSpPr txBox="1"/>
      </xdr:nvSpPr>
      <xdr:spPr>
        <a:xfrm>
          <a:off x="1104900" y="180975"/>
          <a:ext cx="11401263" cy="10159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 quadro a seguir reflete a situação de duas empresas no interior do país que disputam o mercado regional de comércio eletrônico.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competição entre elas foi descoberta acidentalmente pela empresa de comércio eletrônico glamour , desde então as duas disputam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 consumidor por meio de uma guerra de preços que envolveu parceiros, bancos e até os meios de comunicação.</a:t>
          </a:r>
        </a:p>
        <a:p>
          <a:endParaRPr lang="pt-BR" sz="1100"/>
        </a:p>
      </xdr:txBody>
    </xdr:sp>
    <xdr:clientData/>
  </xdr:oneCellAnchor>
  <xdr:oneCellAnchor>
    <xdr:from>
      <xdr:col>1</xdr:col>
      <xdr:colOff>1</xdr:colOff>
      <xdr:row>34</xdr:row>
      <xdr:rowOff>104774</xdr:rowOff>
    </xdr:from>
    <xdr:ext cx="7343774" cy="311467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8C91FF3-0C10-407C-B00C-8C98CC19F862}"/>
            </a:ext>
          </a:extLst>
        </xdr:cNvPr>
        <xdr:cNvSpPr txBox="1"/>
      </xdr:nvSpPr>
      <xdr:spPr>
        <a:xfrm>
          <a:off x="609601" y="8420099"/>
          <a:ext cx="7343774" cy="3114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600"/>
            <a:t>1. Com base na</a:t>
          </a:r>
          <a:r>
            <a:rPr lang="pt-BR" sz="1600" baseline="0"/>
            <a:t> </a:t>
          </a:r>
          <a:r>
            <a:rPr lang="pt-BR" sz="1600"/>
            <a:t>tabela anterior analise a situação da Glamour Comércio Eletrônico, comparando as regressões lineares e logarítmicas.</a:t>
          </a:r>
        </a:p>
        <a:p>
          <a:endParaRPr lang="pt-BR" sz="1600"/>
        </a:p>
        <a:p>
          <a:r>
            <a:rPr lang="pt-BR" sz="1600"/>
            <a:t>Percebe-se que a regressão logarítmica capta a situação de risco, pois demonstra que o crescimento não se mantém ascendente. Além disso,</a:t>
          </a:r>
          <a:r>
            <a:rPr lang="pt-BR" sz="1600" baseline="0"/>
            <a:t> possui o R² maior.</a:t>
          </a:r>
        </a:p>
        <a:p>
          <a:endParaRPr lang="pt-BR" sz="1600" baseline="0"/>
        </a:p>
        <a:p>
          <a:r>
            <a:rPr lang="pt-BR" sz="1600"/>
            <a:t>2. Ainda em relação à glamour,</a:t>
          </a:r>
          <a:r>
            <a:rPr lang="pt-BR" sz="1600" baseline="0"/>
            <a:t> elabore as regressões exponenciais e po</a:t>
          </a:r>
        </a:p>
        <a:p>
          <a:r>
            <a:rPr lang="pt-BR" sz="1600" baseline="0"/>
            <a:t>linomiais.</a:t>
          </a:r>
        </a:p>
        <a:p>
          <a:endParaRPr lang="pt-BR" sz="1600" baseline="0"/>
        </a:p>
        <a:p>
          <a:r>
            <a:rPr lang="pt-BR" sz="1600" baseline="0"/>
            <a:t>A polinomial possui o maior R² e termo em x² negativo.</a:t>
          </a:r>
        </a:p>
        <a:p>
          <a:endParaRPr lang="pt-BR" sz="1600" baseline="0"/>
        </a:p>
        <a:p>
          <a:r>
            <a:rPr lang="pt-BR" sz="1600" baseline="0"/>
            <a:t>3. Calcule o valor no 22o. e 23o. mês em função da regressão mais adequada</a:t>
          </a:r>
          <a:endParaRPr lang="pt-BR" sz="1600"/>
        </a:p>
      </xdr:txBody>
    </xdr:sp>
    <xdr:clientData/>
  </xdr:oneCellAnchor>
  <xdr:twoCellAnchor>
    <xdr:from>
      <xdr:col>9</xdr:col>
      <xdr:colOff>304799</xdr:colOff>
      <xdr:row>8</xdr:row>
      <xdr:rowOff>147637</xdr:rowOff>
    </xdr:from>
    <xdr:to>
      <xdr:col>22</xdr:col>
      <xdr:colOff>28574</xdr:colOff>
      <xdr:row>32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40520D2-C104-4EB6-8F76-A9269DC56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200026</xdr:colOff>
      <xdr:row>39</xdr:row>
      <xdr:rowOff>161924</xdr:rowOff>
    </xdr:from>
    <xdr:to>
      <xdr:col>21</xdr:col>
      <xdr:colOff>514350</xdr:colOff>
      <xdr:row>67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74F237D-C854-4C3E-9DA5-DBA73825C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33</xdr:row>
      <xdr:rowOff>152400</xdr:rowOff>
    </xdr:from>
    <xdr:ext cx="7867650" cy="2800831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921F89F-24E6-47ED-8553-AAC7EB844B45}"/>
            </a:ext>
          </a:extLst>
        </xdr:cNvPr>
        <xdr:cNvSpPr txBox="1"/>
      </xdr:nvSpPr>
      <xdr:spPr>
        <a:xfrm>
          <a:off x="666750" y="8791575"/>
          <a:ext cx="7867650" cy="28008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Com base na</a:t>
          </a:r>
          <a:r>
            <a:rPr lang="pt-BR" sz="18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tabela anterior analise a situação da Glamour Comércio Eletrônico, comparando as regressões lineares e logarítmicas.</a:t>
          </a:r>
          <a:endParaRPr lang="pt-BR" sz="1800">
            <a:effectLst/>
          </a:endParaRPr>
        </a:p>
        <a:p>
          <a:r>
            <a:rPr lang="pt-BR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Percebe-se que a regressão logarítmica capta a situação de risco, pois demonstra que o crescimento não se mantém ascendente. Além disso,</a:t>
          </a:r>
          <a:r>
            <a:rPr lang="pt-BR" sz="18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possui o R² maior.</a:t>
          </a:r>
        </a:p>
        <a:p>
          <a:endParaRPr lang="pt-BR" sz="1800">
            <a:effectLst/>
          </a:endParaRPr>
        </a:p>
        <a:p>
          <a:r>
            <a:rPr lang="pt-BR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Ainda em relação à glamour,</a:t>
          </a:r>
          <a:r>
            <a:rPr lang="pt-BR" sz="18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elabore as regressões exponenciais e polinomiais.</a:t>
          </a:r>
          <a:endParaRPr lang="pt-BR" sz="1800">
            <a:effectLst/>
          </a:endParaRPr>
        </a:p>
        <a:p>
          <a:r>
            <a:rPr lang="pt-BR" sz="18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polinomial possui o maior R² e termo em x² negativo.</a:t>
          </a:r>
        </a:p>
        <a:p>
          <a:endParaRPr lang="pt-BR" sz="1800">
            <a:effectLst/>
          </a:endParaRPr>
        </a:p>
        <a:p>
          <a:r>
            <a:rPr lang="pt-BR" sz="18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Calcule o valor no 22o. e 23o. mês em função da regressão mais adequada</a:t>
          </a:r>
          <a:endParaRPr lang="pt-BR" sz="1800">
            <a:effectLst/>
          </a:endParaRPr>
        </a:p>
        <a:p>
          <a:endParaRPr lang="pt-BR" sz="1100"/>
        </a:p>
      </xdr:txBody>
    </xdr:sp>
    <xdr:clientData/>
  </xdr:oneCellAnchor>
  <xdr:oneCellAnchor>
    <xdr:from>
      <xdr:col>1</xdr:col>
      <xdr:colOff>152400</xdr:colOff>
      <xdr:row>0</xdr:row>
      <xdr:rowOff>95250</xdr:rowOff>
    </xdr:from>
    <xdr:ext cx="14068425" cy="943165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BDD4B27-621A-46FA-A243-4394195036E5}"/>
            </a:ext>
          </a:extLst>
        </xdr:cNvPr>
        <xdr:cNvSpPr txBox="1"/>
      </xdr:nvSpPr>
      <xdr:spPr>
        <a:xfrm>
          <a:off x="762000" y="95250"/>
          <a:ext cx="14068425" cy="9431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eaLnBrk="1" fontAlgn="auto" latinLnBrk="0" hangingPunct="1"/>
          <a:r>
            <a:rPr lang="pt-BR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 quadro a seguir reflete a situação de duas empresas no interior do país que disputam o mercado regional de comércio eletrônico. </a:t>
          </a:r>
          <a:endParaRPr lang="pt-BR" sz="1800">
            <a:effectLst/>
          </a:endParaRPr>
        </a:p>
        <a:p>
          <a:pPr eaLnBrk="1" fontAlgn="auto" latinLnBrk="0" hangingPunct="1"/>
          <a:r>
            <a:rPr lang="pt-BR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competição entre elas foi descoberta acidentalmente pela empresa de comércio eletrônico glamour , desde então as duas disputam </a:t>
          </a:r>
          <a:endParaRPr lang="pt-BR" sz="1800">
            <a:effectLst/>
          </a:endParaRPr>
        </a:p>
        <a:p>
          <a:pPr eaLnBrk="1" fontAlgn="auto" latinLnBrk="0" hangingPunct="1"/>
          <a:r>
            <a:rPr lang="pt-BR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 consumidor por meio de uma guerra de preços que envolveu parceiros, bancos e até os meios de comunicação.</a:t>
          </a:r>
          <a:endParaRPr lang="pt-BR" sz="1800">
            <a:effectLst/>
          </a:endParaRPr>
        </a:p>
        <a:p>
          <a:endParaRPr lang="pt-BR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409576</xdr:colOff>
      <xdr:row>32</xdr:row>
      <xdr:rowOff>180975</xdr:rowOff>
    </xdr:from>
    <xdr:ext cx="7524750" cy="2017732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B1C0C44-86FE-4A77-BD1E-2208A8B7058F}"/>
            </a:ext>
          </a:extLst>
        </xdr:cNvPr>
        <xdr:cNvSpPr txBox="1"/>
      </xdr:nvSpPr>
      <xdr:spPr>
        <a:xfrm>
          <a:off x="409576" y="9744075"/>
          <a:ext cx="7524750" cy="20177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Com base na</a:t>
          </a: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tabela anterior analise a situação da Street Fashion  Comércio Eletrônico, comparando as regressões lineares e logarítmicas.</a:t>
          </a:r>
          <a:endParaRPr lang="pt-BR" sz="1600">
            <a:effectLst/>
          </a:endParaRPr>
        </a:p>
        <a:p>
          <a:r>
            <a:rPr lang="pt-BR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Percebe-se que a regrssão logarítmica capta a situação de risco, pois demonstra que o crescimento não se mantém ascendente. Além disso,</a:t>
          </a: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possui o R² maior.</a:t>
          </a:r>
          <a:endParaRPr lang="pt-BR" sz="1600">
            <a:effectLst/>
          </a:endParaRPr>
        </a:p>
        <a:p>
          <a:r>
            <a:rPr lang="pt-BR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Ainda em relação à glamour,</a:t>
          </a: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elabore as regressões exponenciais e polinomiais.</a:t>
          </a:r>
          <a:endParaRPr lang="pt-BR" sz="1600">
            <a:effectLst/>
          </a:endParaRPr>
        </a:p>
        <a:p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polinomial possui o maior R² e termo em x² negativo.</a:t>
          </a:r>
          <a:endParaRPr lang="pt-BR" sz="1600">
            <a:effectLst/>
          </a:endParaRPr>
        </a:p>
        <a:p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Calcule o valor no 22o. e 23o. mês em função da regressão mais adequada</a:t>
          </a:r>
          <a:endParaRPr lang="pt-BR" sz="1600">
            <a:effectLst/>
          </a:endParaRPr>
        </a:p>
        <a:p>
          <a:endParaRPr lang="pt-BR" sz="1100"/>
        </a:p>
      </xdr:txBody>
    </xdr:sp>
    <xdr:clientData/>
  </xdr:oneCellAnchor>
  <xdr:twoCellAnchor>
    <xdr:from>
      <xdr:col>9</xdr:col>
      <xdr:colOff>304800</xdr:colOff>
      <xdr:row>6</xdr:row>
      <xdr:rowOff>414336</xdr:rowOff>
    </xdr:from>
    <xdr:to>
      <xdr:col>22</xdr:col>
      <xdr:colOff>581025</xdr:colOff>
      <xdr:row>30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835F2F-8629-4189-93B6-6358E55A5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342901</xdr:colOff>
      <xdr:row>32</xdr:row>
      <xdr:rowOff>23811</xdr:rowOff>
    </xdr:from>
    <xdr:to>
      <xdr:col>22</xdr:col>
      <xdr:colOff>561975</xdr:colOff>
      <xdr:row>59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CB7AFED-4D69-4679-BC8E-93AC14A7D2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257175</xdr:colOff>
      <xdr:row>34</xdr:row>
      <xdr:rowOff>85725</xdr:rowOff>
    </xdr:from>
    <xdr:ext cx="7467600" cy="283845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1586977-A7A4-49CA-B45D-E2B9836A8459}"/>
            </a:ext>
          </a:extLst>
        </xdr:cNvPr>
        <xdr:cNvSpPr txBox="1"/>
      </xdr:nvSpPr>
      <xdr:spPr>
        <a:xfrm>
          <a:off x="866775" y="9486900"/>
          <a:ext cx="7467600" cy="2838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Com base na</a:t>
          </a: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tabela anterior analise a situação da Street Fashion  Comércio Eletrônico, comparando as regressões lineares e logarítmicas.</a:t>
          </a:r>
        </a:p>
        <a:p>
          <a:endParaRPr lang="pt-BR" sz="1600">
            <a:effectLst/>
          </a:endParaRPr>
        </a:p>
        <a:p>
          <a:r>
            <a:rPr lang="pt-BR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Percebe-se que a regrssão logarítmica capta a situação de risco, pois demonstra que o crescimento não se mantém ascendente. Além disso,</a:t>
          </a: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possui o R² maior.</a:t>
          </a:r>
          <a:endParaRPr lang="pt-BR" sz="1600">
            <a:effectLst/>
          </a:endParaRPr>
        </a:p>
        <a:p>
          <a:r>
            <a:rPr lang="pt-BR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Ainda em relação à glamour,</a:t>
          </a: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elabore as regressões exponenciais e polinomiais.</a:t>
          </a:r>
        </a:p>
        <a:p>
          <a:endParaRPr lang="pt-BR" sz="1600">
            <a:effectLst/>
          </a:endParaRPr>
        </a:p>
        <a:p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polinomial possui o maior R² e termo em x² negativo.</a:t>
          </a:r>
          <a:endParaRPr lang="pt-BR" sz="1600">
            <a:effectLst/>
          </a:endParaRPr>
        </a:p>
        <a:p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Calcule o valor no 22o. e 23o. mês em função da regressão mais adequada.</a:t>
          </a:r>
          <a:endParaRPr lang="pt-BR" sz="1600">
            <a:effectLst/>
          </a:endParaRPr>
        </a:p>
        <a:p>
          <a:endParaRPr lang="pt-BR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333375</xdr:colOff>
      <xdr:row>7</xdr:row>
      <xdr:rowOff>490536</xdr:rowOff>
    </xdr:from>
    <xdr:to>
      <xdr:col>23</xdr:col>
      <xdr:colOff>104775</xdr:colOff>
      <xdr:row>28</xdr:row>
      <xdr:rowOff>104774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CD8944-D472-46EF-A4CC-4F7A72E14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371476</xdr:colOff>
      <xdr:row>30</xdr:row>
      <xdr:rowOff>176212</xdr:rowOff>
    </xdr:from>
    <xdr:to>
      <xdr:col>23</xdr:col>
      <xdr:colOff>38100</xdr:colOff>
      <xdr:row>62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F526879-5958-4D3D-BAD1-1233EC54D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3</xdr:col>
      <xdr:colOff>314325</xdr:colOff>
      <xdr:row>34</xdr:row>
      <xdr:rowOff>95250</xdr:rowOff>
    </xdr:from>
    <xdr:ext cx="184731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4C6DDD7B-AE96-43FC-8544-2640BFB0F833}"/>
            </a:ext>
          </a:extLst>
        </xdr:cNvPr>
        <xdr:cNvSpPr txBox="1"/>
      </xdr:nvSpPr>
      <xdr:spPr>
        <a:xfrm>
          <a:off x="2143125" y="986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2934950" cy="85725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F338B26-DE89-49B3-9488-3CCA9D89308C}"/>
            </a:ext>
          </a:extLst>
        </xdr:cNvPr>
        <xdr:cNvSpPr txBox="1"/>
      </xdr:nvSpPr>
      <xdr:spPr>
        <a:xfrm>
          <a:off x="1828800" y="190500"/>
          <a:ext cx="12934950" cy="857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600"/>
            <a:t>Por último foi feita a comparação entre a participação das duas empresas</a:t>
          </a:r>
          <a:r>
            <a:rPr lang="pt-BR" sz="1600" baseline="0"/>
            <a:t> em relação ao crerscimento do conjunto do mercadomercado.</a:t>
          </a:r>
        </a:p>
        <a:p>
          <a:endParaRPr lang="pt-BR" sz="1600" baseline="0"/>
        </a:p>
        <a:p>
          <a:r>
            <a:rPr lang="pt-BR" sz="1600" baseline="0"/>
            <a:t>Calcule a participação ocnjunta no 22o e 23o. mês.</a:t>
          </a:r>
          <a:endParaRPr lang="pt-BR" sz="1600"/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DCCAA-5074-4EE0-BB2D-C3621DD3FC64}">
  <dimension ref="D8:G53"/>
  <sheetViews>
    <sheetView topLeftCell="A19" workbookViewId="0">
      <selection activeCell="I45" sqref="I45"/>
    </sheetView>
  </sheetViews>
  <sheetFormatPr defaultRowHeight="15" x14ac:dyDescent="0.25"/>
  <cols>
    <col min="4" max="4" width="18.7109375" customWidth="1"/>
    <col min="5" max="5" width="29" customWidth="1"/>
    <col min="6" max="6" width="21.28515625" customWidth="1"/>
    <col min="7" max="7" width="22.140625" customWidth="1"/>
  </cols>
  <sheetData>
    <row r="8" spans="4:7" ht="15.75" thickBot="1" x14ac:dyDescent="0.3"/>
    <row r="9" spans="4:7" ht="75" customHeight="1" x14ac:dyDescent="0.25">
      <c r="D9" s="1" t="s">
        <v>0</v>
      </c>
      <c r="E9" s="5" t="s">
        <v>2</v>
      </c>
      <c r="F9" s="5" t="s">
        <v>2</v>
      </c>
      <c r="G9" s="5" t="s">
        <v>7</v>
      </c>
    </row>
    <row r="10" spans="4:7" ht="30" x14ac:dyDescent="0.25">
      <c r="D10" s="2" t="s">
        <v>1</v>
      </c>
      <c r="E10" s="6" t="s">
        <v>3</v>
      </c>
      <c r="F10" s="6" t="s">
        <v>5</v>
      </c>
      <c r="G10" s="6"/>
    </row>
    <row r="11" spans="4:7" ht="18.75" x14ac:dyDescent="0.25">
      <c r="D11" s="3"/>
      <c r="E11" s="6" t="s">
        <v>4</v>
      </c>
      <c r="F11" s="6" t="s">
        <v>6</v>
      </c>
      <c r="G11" s="9"/>
    </row>
    <row r="12" spans="4:7" ht="19.5" thickBot="1" x14ac:dyDescent="0.3">
      <c r="D12" s="4"/>
      <c r="E12" s="7"/>
      <c r="F12" s="8"/>
      <c r="G12" s="7"/>
    </row>
    <row r="13" spans="4:7" ht="19.5" thickBot="1" x14ac:dyDescent="0.3">
      <c r="D13" s="11">
        <v>1</v>
      </c>
      <c r="E13" s="13">
        <v>4.0999999999999996</v>
      </c>
      <c r="F13" s="13">
        <v>4.9000000000000004</v>
      </c>
      <c r="G13" s="13">
        <v>0.9</v>
      </c>
    </row>
    <row r="14" spans="4:7" ht="19.5" thickBot="1" x14ac:dyDescent="0.3">
      <c r="D14" s="10">
        <v>2</v>
      </c>
      <c r="E14" s="12">
        <v>5.8</v>
      </c>
      <c r="F14" s="12">
        <v>6.1</v>
      </c>
      <c r="G14" s="13">
        <v>1.19</v>
      </c>
    </row>
    <row r="15" spans="4:7" ht="19.5" thickBot="1" x14ac:dyDescent="0.3">
      <c r="D15" s="10">
        <v>3</v>
      </c>
      <c r="E15" s="12">
        <v>14.3</v>
      </c>
      <c r="F15" s="12">
        <v>14.2</v>
      </c>
      <c r="G15" s="13">
        <v>2.85</v>
      </c>
    </row>
    <row r="16" spans="4:7" ht="19.5" thickBot="1" x14ac:dyDescent="0.3">
      <c r="D16" s="10">
        <v>4</v>
      </c>
      <c r="E16" s="12">
        <v>26.9</v>
      </c>
      <c r="F16" s="12">
        <v>19.899999999999999</v>
      </c>
      <c r="G16" s="13">
        <v>4.68</v>
      </c>
    </row>
    <row r="17" spans="4:7" ht="19.5" thickBot="1" x14ac:dyDescent="0.3">
      <c r="D17" s="10">
        <v>5</v>
      </c>
      <c r="E17" s="12">
        <v>34.200000000000003</v>
      </c>
      <c r="F17" s="12">
        <v>31.5</v>
      </c>
      <c r="G17" s="13">
        <v>6.57</v>
      </c>
    </row>
    <row r="18" spans="4:7" ht="19.5" thickBot="1" x14ac:dyDescent="0.3">
      <c r="D18" s="10">
        <v>6</v>
      </c>
      <c r="E18" s="12">
        <v>38.4</v>
      </c>
      <c r="F18" s="12">
        <v>36.799999999999997</v>
      </c>
      <c r="G18" s="13">
        <v>7.52</v>
      </c>
    </row>
    <row r="19" spans="4:7" ht="19.5" thickBot="1" x14ac:dyDescent="0.3">
      <c r="D19" s="10">
        <v>7</v>
      </c>
      <c r="E19" s="12">
        <v>39.5</v>
      </c>
      <c r="F19" s="12">
        <v>38.700000000000003</v>
      </c>
      <c r="G19" s="13">
        <v>7.82</v>
      </c>
    </row>
    <row r="20" spans="4:7" ht="19.5" thickBot="1" x14ac:dyDescent="0.3">
      <c r="D20" s="10">
        <v>8</v>
      </c>
      <c r="E20" s="12">
        <v>39.6</v>
      </c>
      <c r="F20" s="12">
        <v>40.299999999999997</v>
      </c>
      <c r="G20" s="13">
        <v>7.99</v>
      </c>
    </row>
    <row r="21" spans="4:7" ht="19.5" thickBot="1" x14ac:dyDescent="0.3">
      <c r="D21" s="10">
        <v>9</v>
      </c>
      <c r="E21" s="12">
        <v>40.700000000000003</v>
      </c>
      <c r="F21" s="12">
        <v>40.9</v>
      </c>
      <c r="G21" s="13">
        <v>8.16</v>
      </c>
    </row>
    <row r="22" spans="4:7" ht="19.5" thickBot="1" x14ac:dyDescent="0.3">
      <c r="D22" s="11">
        <v>10</v>
      </c>
      <c r="E22" s="13">
        <v>42.2</v>
      </c>
      <c r="F22" s="13">
        <v>42</v>
      </c>
      <c r="G22" s="13">
        <v>8.42</v>
      </c>
    </row>
    <row r="23" spans="4:7" ht="19.5" thickBot="1" x14ac:dyDescent="0.3">
      <c r="D23" s="11">
        <v>11</v>
      </c>
      <c r="E23" s="13">
        <v>43.8</v>
      </c>
      <c r="F23" s="13">
        <v>43.9</v>
      </c>
      <c r="G23" s="13">
        <v>7.31</v>
      </c>
    </row>
    <row r="24" spans="4:7" ht="15.75" thickBot="1" x14ac:dyDescent="0.3">
      <c r="D24" s="10">
        <v>12</v>
      </c>
      <c r="E24" s="12">
        <v>45.6</v>
      </c>
      <c r="F24" s="12">
        <v>45.4</v>
      </c>
      <c r="G24" s="12">
        <v>7.58</v>
      </c>
    </row>
    <row r="25" spans="4:7" ht="15.75" thickBot="1" x14ac:dyDescent="0.3">
      <c r="D25" s="10">
        <v>13</v>
      </c>
      <c r="E25" s="12">
        <v>54.3</v>
      </c>
      <c r="F25" s="12">
        <v>52.8</v>
      </c>
      <c r="G25" s="12">
        <v>8.93</v>
      </c>
    </row>
    <row r="26" spans="4:7" ht="15.75" thickBot="1" x14ac:dyDescent="0.3">
      <c r="D26" s="10">
        <v>14</v>
      </c>
      <c r="E26" s="12">
        <v>55.2</v>
      </c>
      <c r="F26" s="12">
        <v>54.3</v>
      </c>
      <c r="G26" s="12">
        <v>9.1300000000000008</v>
      </c>
    </row>
    <row r="27" spans="4:7" ht="15.75" thickBot="1" x14ac:dyDescent="0.3">
      <c r="D27" s="10">
        <v>15</v>
      </c>
      <c r="E27" s="12">
        <v>55.9</v>
      </c>
      <c r="F27" s="12">
        <v>53.8</v>
      </c>
      <c r="G27" s="12">
        <v>9.14</v>
      </c>
    </row>
    <row r="28" spans="4:7" ht="15.75" thickBot="1" x14ac:dyDescent="0.3">
      <c r="D28" s="10">
        <v>16</v>
      </c>
      <c r="E28" s="12">
        <v>55.9</v>
      </c>
      <c r="F28" s="12">
        <v>56.1</v>
      </c>
      <c r="G28" s="12">
        <v>9.33</v>
      </c>
    </row>
    <row r="29" spans="4:7" ht="15.75" thickBot="1" x14ac:dyDescent="0.3">
      <c r="D29" s="10">
        <v>17</v>
      </c>
      <c r="E29" s="12">
        <v>57.2</v>
      </c>
      <c r="F29" s="12">
        <v>56.9</v>
      </c>
      <c r="G29" s="12">
        <v>9.51</v>
      </c>
    </row>
    <row r="30" spans="4:7" ht="15.75" thickBot="1" x14ac:dyDescent="0.3">
      <c r="D30" s="10">
        <v>18</v>
      </c>
      <c r="E30" s="12">
        <v>58.9</v>
      </c>
      <c r="F30" s="12">
        <v>58.1</v>
      </c>
      <c r="G30" s="12">
        <v>9.75</v>
      </c>
    </row>
    <row r="31" spans="4:7" ht="15.75" thickBot="1" x14ac:dyDescent="0.3">
      <c r="D31" s="10">
        <v>19</v>
      </c>
      <c r="E31" s="12">
        <v>59.5</v>
      </c>
      <c r="F31" s="12">
        <v>56.1</v>
      </c>
      <c r="G31" s="12">
        <v>9.6300000000000008</v>
      </c>
    </row>
    <row r="32" spans="4:7" ht="19.5" thickBot="1" x14ac:dyDescent="0.3">
      <c r="D32" s="11">
        <v>20</v>
      </c>
      <c r="E32" s="13">
        <v>58.5</v>
      </c>
      <c r="F32" s="13">
        <v>59.1</v>
      </c>
      <c r="G32" s="12">
        <v>9.8000000000000007</v>
      </c>
    </row>
    <row r="33" spans="4:7" ht="15.75" thickBot="1" x14ac:dyDescent="0.3">
      <c r="D33" s="10">
        <v>21</v>
      </c>
      <c r="E33" s="12">
        <v>56.9</v>
      </c>
      <c r="F33" s="12">
        <v>56.3</v>
      </c>
      <c r="G33" s="12">
        <v>8.7100000000000009</v>
      </c>
    </row>
    <row r="52" spans="4:5" x14ac:dyDescent="0.25">
      <c r="D52">
        <f>22^2</f>
        <v>484</v>
      </c>
      <c r="E52">
        <f>(((-0.1697*D52)+(6.2744*22)-0.0035))</f>
        <v>55.898499999999999</v>
      </c>
    </row>
    <row r="53" spans="4:5" x14ac:dyDescent="0.25">
      <c r="D53">
        <f>23^2</f>
        <v>529</v>
      </c>
      <c r="E53">
        <f>(((-0.1697*D53)+(6.2744*23)-0.0035))</f>
        <v>54.536399999999986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0FCE6-2A93-4ADF-9223-83B81CCF4A30}">
  <dimension ref="D6:G31"/>
  <sheetViews>
    <sheetView workbookViewId="0">
      <selection activeCell="N8" sqref="N8"/>
    </sheetView>
  </sheetViews>
  <sheetFormatPr defaultRowHeight="15" x14ac:dyDescent="0.25"/>
  <cols>
    <col min="4" max="4" width="19.42578125" customWidth="1"/>
    <col min="5" max="5" width="19.85546875" customWidth="1"/>
    <col min="6" max="6" width="23" customWidth="1"/>
    <col min="7" max="7" width="38.42578125" customWidth="1"/>
  </cols>
  <sheetData>
    <row r="6" spans="4:7" ht="15.75" thickBot="1" x14ac:dyDescent="0.3"/>
    <row r="7" spans="4:7" ht="69.95" customHeight="1" x14ac:dyDescent="0.25">
      <c r="D7" s="1" t="s">
        <v>0</v>
      </c>
      <c r="E7" s="5" t="s">
        <v>2</v>
      </c>
      <c r="F7" s="5" t="s">
        <v>2</v>
      </c>
      <c r="G7" s="5" t="s">
        <v>7</v>
      </c>
    </row>
    <row r="8" spans="4:7" ht="69.95" customHeight="1" x14ac:dyDescent="0.25">
      <c r="D8" s="2" t="s">
        <v>1</v>
      </c>
      <c r="E8" s="6" t="s">
        <v>3</v>
      </c>
      <c r="F8" s="6" t="s">
        <v>5</v>
      </c>
      <c r="G8" s="6"/>
    </row>
    <row r="9" spans="4:7" ht="69.95" customHeight="1" x14ac:dyDescent="0.25">
      <c r="D9" s="3"/>
      <c r="E9" s="6" t="s">
        <v>4</v>
      </c>
      <c r="F9" s="6" t="s">
        <v>6</v>
      </c>
      <c r="G9" s="9"/>
    </row>
    <row r="10" spans="4:7" ht="19.5" thickBot="1" x14ac:dyDescent="0.3">
      <c r="D10" s="4"/>
      <c r="E10" s="7"/>
      <c r="F10" s="8"/>
      <c r="G10" s="7"/>
    </row>
    <row r="11" spans="4:7" ht="19.5" thickBot="1" x14ac:dyDescent="0.3">
      <c r="D11" s="11">
        <v>1</v>
      </c>
      <c r="E11" s="13">
        <v>4.0999999999999996</v>
      </c>
      <c r="F11" s="13">
        <v>4.9000000000000004</v>
      </c>
      <c r="G11" s="13">
        <v>0.9</v>
      </c>
    </row>
    <row r="12" spans="4:7" ht="19.5" thickBot="1" x14ac:dyDescent="0.3">
      <c r="D12" s="10">
        <v>2</v>
      </c>
      <c r="E12" s="12">
        <v>5.8</v>
      </c>
      <c r="F12" s="12">
        <v>6.1</v>
      </c>
      <c r="G12" s="13">
        <v>1.19</v>
      </c>
    </row>
    <row r="13" spans="4:7" ht="19.5" thickBot="1" x14ac:dyDescent="0.3">
      <c r="D13" s="10">
        <v>3</v>
      </c>
      <c r="E13" s="12">
        <v>14.3</v>
      </c>
      <c r="F13" s="12">
        <v>14.2</v>
      </c>
      <c r="G13" s="13">
        <v>2.85</v>
      </c>
    </row>
    <row r="14" spans="4:7" ht="19.5" thickBot="1" x14ac:dyDescent="0.3">
      <c r="D14" s="10">
        <v>4</v>
      </c>
      <c r="E14" s="12">
        <v>26.9</v>
      </c>
      <c r="F14" s="12">
        <v>19.899999999999999</v>
      </c>
      <c r="G14" s="13">
        <v>4.68</v>
      </c>
    </row>
    <row r="15" spans="4:7" ht="19.5" thickBot="1" x14ac:dyDescent="0.3">
      <c r="D15" s="10">
        <v>5</v>
      </c>
      <c r="E15" s="12">
        <v>34.200000000000003</v>
      </c>
      <c r="F15" s="12">
        <v>31.5</v>
      </c>
      <c r="G15" s="13">
        <v>6.57</v>
      </c>
    </row>
    <row r="16" spans="4:7" ht="19.5" thickBot="1" x14ac:dyDescent="0.3">
      <c r="D16" s="10">
        <v>6</v>
      </c>
      <c r="E16" s="12">
        <v>38.4</v>
      </c>
      <c r="F16" s="12">
        <v>36.799999999999997</v>
      </c>
      <c r="G16" s="13">
        <v>7.52</v>
      </c>
    </row>
    <row r="17" spans="4:7" ht="19.5" thickBot="1" x14ac:dyDescent="0.3">
      <c r="D17" s="10">
        <v>7</v>
      </c>
      <c r="E17" s="12">
        <v>39.5</v>
      </c>
      <c r="F17" s="12">
        <v>38.700000000000003</v>
      </c>
      <c r="G17" s="13">
        <v>7.82</v>
      </c>
    </row>
    <row r="18" spans="4:7" ht="19.5" thickBot="1" x14ac:dyDescent="0.3">
      <c r="D18" s="10">
        <v>8</v>
      </c>
      <c r="E18" s="12">
        <v>39.6</v>
      </c>
      <c r="F18" s="12">
        <v>40.299999999999997</v>
      </c>
      <c r="G18" s="13">
        <v>7.99</v>
      </c>
    </row>
    <row r="19" spans="4:7" ht="19.5" thickBot="1" x14ac:dyDescent="0.3">
      <c r="D19" s="10">
        <v>9</v>
      </c>
      <c r="E19" s="12">
        <v>40.700000000000003</v>
      </c>
      <c r="F19" s="12">
        <v>40.9</v>
      </c>
      <c r="G19" s="13">
        <v>8.16</v>
      </c>
    </row>
    <row r="20" spans="4:7" ht="19.5" thickBot="1" x14ac:dyDescent="0.3">
      <c r="D20" s="11">
        <v>10</v>
      </c>
      <c r="E20" s="13">
        <v>42.2</v>
      </c>
      <c r="F20" s="13">
        <v>42</v>
      </c>
      <c r="G20" s="13">
        <v>8.42</v>
      </c>
    </row>
    <row r="21" spans="4:7" ht="19.5" thickBot="1" x14ac:dyDescent="0.3">
      <c r="D21" s="11">
        <v>11</v>
      </c>
      <c r="E21" s="13">
        <v>43.8</v>
      </c>
      <c r="F21" s="13">
        <v>43.9</v>
      </c>
      <c r="G21" s="13">
        <v>7.31</v>
      </c>
    </row>
    <row r="22" spans="4:7" ht="15.75" thickBot="1" x14ac:dyDescent="0.3">
      <c r="D22" s="10">
        <v>12</v>
      </c>
      <c r="E22" s="12">
        <v>45.6</v>
      </c>
      <c r="F22" s="12">
        <v>45.4</v>
      </c>
      <c r="G22" s="12">
        <v>7.58</v>
      </c>
    </row>
    <row r="23" spans="4:7" ht="15.75" thickBot="1" x14ac:dyDescent="0.3">
      <c r="D23" s="10">
        <v>13</v>
      </c>
      <c r="E23" s="12">
        <v>54.3</v>
      </c>
      <c r="F23" s="12">
        <v>52.8</v>
      </c>
      <c r="G23" s="12">
        <v>8.93</v>
      </c>
    </row>
    <row r="24" spans="4:7" ht="15.75" thickBot="1" x14ac:dyDescent="0.3">
      <c r="D24" s="10">
        <v>14</v>
      </c>
      <c r="E24" s="12">
        <v>55.2</v>
      </c>
      <c r="F24" s="12">
        <v>54.3</v>
      </c>
      <c r="G24" s="12">
        <v>9.1300000000000008</v>
      </c>
    </row>
    <row r="25" spans="4:7" ht="15.75" thickBot="1" x14ac:dyDescent="0.3">
      <c r="D25" s="10">
        <v>15</v>
      </c>
      <c r="E25" s="12">
        <v>55.9</v>
      </c>
      <c r="F25" s="12">
        <v>53.8</v>
      </c>
      <c r="G25" s="12">
        <v>9.14</v>
      </c>
    </row>
    <row r="26" spans="4:7" ht="15.75" thickBot="1" x14ac:dyDescent="0.3">
      <c r="D26" s="10">
        <v>16</v>
      </c>
      <c r="E26" s="12">
        <v>55.9</v>
      </c>
      <c r="F26" s="12">
        <v>56.1</v>
      </c>
      <c r="G26" s="12">
        <v>9.33</v>
      </c>
    </row>
    <row r="27" spans="4:7" ht="15.75" thickBot="1" x14ac:dyDescent="0.3">
      <c r="D27" s="10">
        <v>17</v>
      </c>
      <c r="E27" s="12">
        <v>57.2</v>
      </c>
      <c r="F27" s="12">
        <v>56.9</v>
      </c>
      <c r="G27" s="12">
        <v>9.51</v>
      </c>
    </row>
    <row r="28" spans="4:7" ht="15.75" thickBot="1" x14ac:dyDescent="0.3">
      <c r="D28" s="10">
        <v>18</v>
      </c>
      <c r="E28" s="12">
        <v>58.9</v>
      </c>
      <c r="F28" s="12">
        <v>58.1</v>
      </c>
      <c r="G28" s="12">
        <v>9.75</v>
      </c>
    </row>
    <row r="29" spans="4:7" ht="15.75" thickBot="1" x14ac:dyDescent="0.3">
      <c r="D29" s="10">
        <v>19</v>
      </c>
      <c r="E29" s="12">
        <v>59.5</v>
      </c>
      <c r="F29" s="12">
        <v>56.1</v>
      </c>
      <c r="G29" s="12">
        <v>9.6300000000000008</v>
      </c>
    </row>
    <row r="30" spans="4:7" ht="19.5" thickBot="1" x14ac:dyDescent="0.3">
      <c r="D30" s="11">
        <v>20</v>
      </c>
      <c r="E30" s="13">
        <v>58.5</v>
      </c>
      <c r="F30" s="13">
        <v>59.1</v>
      </c>
      <c r="G30" s="12">
        <v>9.8000000000000007</v>
      </c>
    </row>
    <row r="31" spans="4:7" ht="15.75" thickBot="1" x14ac:dyDescent="0.3">
      <c r="D31" s="10">
        <v>21</v>
      </c>
      <c r="E31" s="12">
        <v>56.9</v>
      </c>
      <c r="F31" s="12">
        <v>56.3</v>
      </c>
      <c r="G31" s="12">
        <v>8.7100000000000009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EEFC3-8C7F-4697-8E6C-91921A36264A}">
  <dimension ref="D5:H45"/>
  <sheetViews>
    <sheetView topLeftCell="A19" workbookViewId="0">
      <selection activeCell="G48" sqref="G48"/>
    </sheetView>
  </sheetViews>
  <sheetFormatPr defaultRowHeight="15" x14ac:dyDescent="0.25"/>
  <cols>
    <col min="5" max="5" width="14.5703125" customWidth="1"/>
    <col min="6" max="6" width="15.5703125" customWidth="1"/>
    <col min="7" max="7" width="20.7109375" customWidth="1"/>
    <col min="8" max="8" width="31.28515625" customWidth="1"/>
  </cols>
  <sheetData>
    <row r="5" spans="5:8" ht="15.75" thickBot="1" x14ac:dyDescent="0.3"/>
    <row r="6" spans="5:8" ht="112.5" x14ac:dyDescent="0.25">
      <c r="E6" s="1" t="s">
        <v>0</v>
      </c>
      <c r="F6" s="5" t="s">
        <v>2</v>
      </c>
      <c r="G6" s="5" t="s">
        <v>2</v>
      </c>
      <c r="H6" s="5" t="s">
        <v>7</v>
      </c>
    </row>
    <row r="7" spans="5:8" ht="69.95" customHeight="1" x14ac:dyDescent="0.25">
      <c r="E7" s="2" t="s">
        <v>1</v>
      </c>
      <c r="F7" s="6" t="s">
        <v>3</v>
      </c>
      <c r="G7" s="6" t="s">
        <v>5</v>
      </c>
      <c r="H7" s="6"/>
    </row>
    <row r="8" spans="5:8" ht="69.95" customHeight="1" x14ac:dyDescent="0.25">
      <c r="E8" s="3"/>
      <c r="F8" s="6" t="s">
        <v>4</v>
      </c>
      <c r="G8" s="6" t="s">
        <v>6</v>
      </c>
      <c r="H8" s="9"/>
    </row>
    <row r="9" spans="5:8" ht="19.5" thickBot="1" x14ac:dyDescent="0.3">
      <c r="E9" s="4"/>
      <c r="F9" s="7"/>
      <c r="G9" s="8"/>
      <c r="H9" s="7"/>
    </row>
    <row r="10" spans="5:8" ht="19.5" thickBot="1" x14ac:dyDescent="0.3">
      <c r="E10" s="11">
        <v>1</v>
      </c>
      <c r="F10" s="13">
        <v>4.0999999999999996</v>
      </c>
      <c r="G10" s="13">
        <v>4.9000000000000004</v>
      </c>
      <c r="H10" s="13">
        <v>0.9</v>
      </c>
    </row>
    <row r="11" spans="5:8" ht="19.5" thickBot="1" x14ac:dyDescent="0.3">
      <c r="E11" s="10">
        <v>2</v>
      </c>
      <c r="F11" s="12">
        <v>5.8</v>
      </c>
      <c r="G11" s="12">
        <v>6.1</v>
      </c>
      <c r="H11" s="13">
        <v>1.19</v>
      </c>
    </row>
    <row r="12" spans="5:8" ht="19.5" thickBot="1" x14ac:dyDescent="0.3">
      <c r="E12" s="10">
        <v>3</v>
      </c>
      <c r="F12" s="12">
        <v>14.3</v>
      </c>
      <c r="G12" s="12">
        <v>14.2</v>
      </c>
      <c r="H12" s="13">
        <v>2.85</v>
      </c>
    </row>
    <row r="13" spans="5:8" ht="19.5" thickBot="1" x14ac:dyDescent="0.3">
      <c r="E13" s="10">
        <v>4</v>
      </c>
      <c r="F13" s="12">
        <v>26.9</v>
      </c>
      <c r="G13" s="12">
        <v>19.899999999999999</v>
      </c>
      <c r="H13" s="13">
        <v>4.68</v>
      </c>
    </row>
    <row r="14" spans="5:8" ht="19.5" thickBot="1" x14ac:dyDescent="0.3">
      <c r="E14" s="10">
        <v>5</v>
      </c>
      <c r="F14" s="12">
        <v>34.200000000000003</v>
      </c>
      <c r="G14" s="12">
        <v>31.5</v>
      </c>
      <c r="H14" s="13">
        <v>6.57</v>
      </c>
    </row>
    <row r="15" spans="5:8" ht="19.5" thickBot="1" x14ac:dyDescent="0.3">
      <c r="E15" s="10">
        <v>6</v>
      </c>
      <c r="F15" s="12">
        <v>38.4</v>
      </c>
      <c r="G15" s="12">
        <v>36.799999999999997</v>
      </c>
      <c r="H15" s="13">
        <v>7.52</v>
      </c>
    </row>
    <row r="16" spans="5:8" ht="19.5" thickBot="1" x14ac:dyDescent="0.3">
      <c r="E16" s="10">
        <v>7</v>
      </c>
      <c r="F16" s="12">
        <v>39.5</v>
      </c>
      <c r="G16" s="12">
        <v>38.700000000000003</v>
      </c>
      <c r="H16" s="13">
        <v>7.82</v>
      </c>
    </row>
    <row r="17" spans="5:8" ht="19.5" thickBot="1" x14ac:dyDescent="0.3">
      <c r="E17" s="10">
        <v>8</v>
      </c>
      <c r="F17" s="12">
        <v>39.6</v>
      </c>
      <c r="G17" s="12">
        <v>40.299999999999997</v>
      </c>
      <c r="H17" s="13">
        <v>7.99</v>
      </c>
    </row>
    <row r="18" spans="5:8" ht="19.5" thickBot="1" x14ac:dyDescent="0.3">
      <c r="E18" s="10">
        <v>9</v>
      </c>
      <c r="F18" s="12">
        <v>40.700000000000003</v>
      </c>
      <c r="G18" s="12">
        <v>40.9</v>
      </c>
      <c r="H18" s="13">
        <v>8.16</v>
      </c>
    </row>
    <row r="19" spans="5:8" ht="19.5" thickBot="1" x14ac:dyDescent="0.3">
      <c r="E19" s="11">
        <v>10</v>
      </c>
      <c r="F19" s="13">
        <v>42.2</v>
      </c>
      <c r="G19" s="13">
        <v>42</v>
      </c>
      <c r="H19" s="13">
        <v>8.42</v>
      </c>
    </row>
    <row r="20" spans="5:8" ht="19.5" thickBot="1" x14ac:dyDescent="0.3">
      <c r="E20" s="11">
        <v>11</v>
      </c>
      <c r="F20" s="13">
        <v>43.8</v>
      </c>
      <c r="G20" s="13">
        <v>43.9</v>
      </c>
      <c r="H20" s="13">
        <v>7.31</v>
      </c>
    </row>
    <row r="21" spans="5:8" ht="15.75" thickBot="1" x14ac:dyDescent="0.3">
      <c r="E21" s="10">
        <v>12</v>
      </c>
      <c r="F21" s="12">
        <v>45.6</v>
      </c>
      <c r="G21" s="12">
        <v>45.4</v>
      </c>
      <c r="H21" s="12">
        <v>7.58</v>
      </c>
    </row>
    <row r="22" spans="5:8" ht="15.75" thickBot="1" x14ac:dyDescent="0.3">
      <c r="E22" s="10">
        <v>13</v>
      </c>
      <c r="F22" s="12">
        <v>54.3</v>
      </c>
      <c r="G22" s="12">
        <v>52.8</v>
      </c>
      <c r="H22" s="12">
        <v>8.93</v>
      </c>
    </row>
    <row r="23" spans="5:8" ht="15.75" thickBot="1" x14ac:dyDescent="0.3">
      <c r="E23" s="10">
        <v>14</v>
      </c>
      <c r="F23" s="12">
        <v>55.2</v>
      </c>
      <c r="G23" s="12">
        <v>54.3</v>
      </c>
      <c r="H23" s="12">
        <v>9.1300000000000008</v>
      </c>
    </row>
    <row r="24" spans="5:8" ht="15.75" thickBot="1" x14ac:dyDescent="0.3">
      <c r="E24" s="10">
        <v>15</v>
      </c>
      <c r="F24" s="12">
        <v>55.9</v>
      </c>
      <c r="G24" s="12">
        <v>53.8</v>
      </c>
      <c r="H24" s="12">
        <v>9.14</v>
      </c>
    </row>
    <row r="25" spans="5:8" ht="15.75" thickBot="1" x14ac:dyDescent="0.3">
      <c r="E25" s="10">
        <v>16</v>
      </c>
      <c r="F25" s="12">
        <v>55.9</v>
      </c>
      <c r="G25" s="12">
        <v>56.1</v>
      </c>
      <c r="H25" s="12">
        <v>9.33</v>
      </c>
    </row>
    <row r="26" spans="5:8" ht="15.75" thickBot="1" x14ac:dyDescent="0.3">
      <c r="E26" s="10">
        <v>17</v>
      </c>
      <c r="F26" s="12">
        <v>57.2</v>
      </c>
      <c r="G26" s="12">
        <v>56.9</v>
      </c>
      <c r="H26" s="12">
        <v>9.51</v>
      </c>
    </row>
    <row r="27" spans="5:8" ht="15.75" thickBot="1" x14ac:dyDescent="0.3">
      <c r="E27" s="10">
        <v>18</v>
      </c>
      <c r="F27" s="12">
        <v>58.9</v>
      </c>
      <c r="G27" s="12">
        <v>58.1</v>
      </c>
      <c r="H27" s="12">
        <v>9.75</v>
      </c>
    </row>
    <row r="28" spans="5:8" ht="15.75" thickBot="1" x14ac:dyDescent="0.3">
      <c r="E28" s="10">
        <v>19</v>
      </c>
      <c r="F28" s="12">
        <v>59.5</v>
      </c>
      <c r="G28" s="12">
        <v>56.1</v>
      </c>
      <c r="H28" s="12">
        <v>9.6300000000000008</v>
      </c>
    </row>
    <row r="29" spans="5:8" ht="19.5" thickBot="1" x14ac:dyDescent="0.3">
      <c r="E29" s="11">
        <v>20</v>
      </c>
      <c r="F29" s="13">
        <v>58.5</v>
      </c>
      <c r="G29" s="13">
        <v>59.1</v>
      </c>
      <c r="H29" s="12">
        <v>9.8000000000000007</v>
      </c>
    </row>
    <row r="30" spans="5:8" ht="15.75" thickBot="1" x14ac:dyDescent="0.3">
      <c r="E30" s="10">
        <v>21</v>
      </c>
      <c r="F30" s="12">
        <v>56.9</v>
      </c>
      <c r="G30" s="12">
        <v>56.3</v>
      </c>
      <c r="H30" s="12">
        <v>8.7100000000000009</v>
      </c>
    </row>
    <row r="44" spans="4:5" x14ac:dyDescent="0.25">
      <c r="D44">
        <f>22^2</f>
        <v>484</v>
      </c>
      <c r="E44">
        <f>(((-0.1698*D44)+(6.2971*22)-1.1559))</f>
        <v>55.197100000000006</v>
      </c>
    </row>
    <row r="45" spans="4:5" x14ac:dyDescent="0.25">
      <c r="D45">
        <f>23^2</f>
        <v>529</v>
      </c>
      <c r="E45">
        <f>(((-0.1698*D45)+(6.2971*23)-1.1559))</f>
        <v>53.853200000000001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8025-D2C9-4937-86F5-2E8772EFA442}">
  <dimension ref="D6:G31"/>
  <sheetViews>
    <sheetView topLeftCell="A13" workbookViewId="0">
      <selection activeCell="K40" sqref="K40"/>
    </sheetView>
  </sheetViews>
  <sheetFormatPr defaultRowHeight="15" x14ac:dyDescent="0.25"/>
  <cols>
    <col min="4" max="4" width="18.140625" customWidth="1"/>
    <col min="5" max="5" width="20.7109375" customWidth="1"/>
    <col min="6" max="6" width="20.28515625" customWidth="1"/>
    <col min="7" max="7" width="40.140625" customWidth="1"/>
  </cols>
  <sheetData>
    <row r="6" spans="4:7" ht="15.75" thickBot="1" x14ac:dyDescent="0.3"/>
    <row r="7" spans="4:7" ht="69.95" customHeight="1" x14ac:dyDescent="0.25">
      <c r="D7" s="1" t="s">
        <v>0</v>
      </c>
      <c r="E7" s="5" t="s">
        <v>2</v>
      </c>
      <c r="F7" s="5" t="s">
        <v>2</v>
      </c>
      <c r="G7" s="5" t="s">
        <v>7</v>
      </c>
    </row>
    <row r="8" spans="4:7" ht="69.95" customHeight="1" x14ac:dyDescent="0.25">
      <c r="D8" s="2" t="s">
        <v>1</v>
      </c>
      <c r="E8" s="6" t="s">
        <v>3</v>
      </c>
      <c r="F8" s="6" t="s">
        <v>5</v>
      </c>
      <c r="G8" s="6"/>
    </row>
    <row r="9" spans="4:7" ht="69.95" customHeight="1" x14ac:dyDescent="0.25">
      <c r="D9" s="3"/>
      <c r="E9" s="6" t="s">
        <v>4</v>
      </c>
      <c r="F9" s="6" t="s">
        <v>6</v>
      </c>
      <c r="G9" s="9"/>
    </row>
    <row r="10" spans="4:7" ht="19.5" thickBot="1" x14ac:dyDescent="0.3">
      <c r="D10" s="4"/>
      <c r="E10" s="7"/>
      <c r="F10" s="8"/>
      <c r="G10" s="7"/>
    </row>
    <row r="11" spans="4:7" ht="19.5" thickBot="1" x14ac:dyDescent="0.3">
      <c r="D11" s="11">
        <v>1</v>
      </c>
      <c r="E11" s="13">
        <v>4.0999999999999996</v>
      </c>
      <c r="F11" s="13">
        <v>4.9000000000000004</v>
      </c>
      <c r="G11" s="13">
        <v>0.9</v>
      </c>
    </row>
    <row r="12" spans="4:7" ht="19.5" thickBot="1" x14ac:dyDescent="0.3">
      <c r="D12" s="10">
        <v>2</v>
      </c>
      <c r="E12" s="12">
        <v>5.8</v>
      </c>
      <c r="F12" s="12">
        <v>6.1</v>
      </c>
      <c r="G12" s="13">
        <v>1.19</v>
      </c>
    </row>
    <row r="13" spans="4:7" ht="19.5" thickBot="1" x14ac:dyDescent="0.3">
      <c r="D13" s="10">
        <v>3</v>
      </c>
      <c r="E13" s="12">
        <v>14.3</v>
      </c>
      <c r="F13" s="12">
        <v>14.2</v>
      </c>
      <c r="G13" s="13">
        <v>2.85</v>
      </c>
    </row>
    <row r="14" spans="4:7" ht="19.5" thickBot="1" x14ac:dyDescent="0.3">
      <c r="D14" s="10">
        <v>4</v>
      </c>
      <c r="E14" s="12">
        <v>26.9</v>
      </c>
      <c r="F14" s="12">
        <v>19.899999999999999</v>
      </c>
      <c r="G14" s="13">
        <v>4.68</v>
      </c>
    </row>
    <row r="15" spans="4:7" ht="19.5" thickBot="1" x14ac:dyDescent="0.3">
      <c r="D15" s="10">
        <v>5</v>
      </c>
      <c r="E15" s="12">
        <v>34.200000000000003</v>
      </c>
      <c r="F15" s="12">
        <v>31.5</v>
      </c>
      <c r="G15" s="13">
        <v>6.57</v>
      </c>
    </row>
    <row r="16" spans="4:7" ht="19.5" thickBot="1" x14ac:dyDescent="0.3">
      <c r="D16" s="10">
        <v>6</v>
      </c>
      <c r="E16" s="12">
        <v>38.4</v>
      </c>
      <c r="F16" s="12">
        <v>36.799999999999997</v>
      </c>
      <c r="G16" s="13">
        <v>7.52</v>
      </c>
    </row>
    <row r="17" spans="4:7" ht="19.5" thickBot="1" x14ac:dyDescent="0.3">
      <c r="D17" s="10">
        <v>7</v>
      </c>
      <c r="E17" s="12">
        <v>39.5</v>
      </c>
      <c r="F17" s="12">
        <v>38.700000000000003</v>
      </c>
      <c r="G17" s="13">
        <v>7.82</v>
      </c>
    </row>
    <row r="18" spans="4:7" ht="19.5" thickBot="1" x14ac:dyDescent="0.3">
      <c r="D18" s="10">
        <v>8</v>
      </c>
      <c r="E18" s="12">
        <v>39.6</v>
      </c>
      <c r="F18" s="12">
        <v>40.299999999999997</v>
      </c>
      <c r="G18" s="13">
        <v>7.99</v>
      </c>
    </row>
    <row r="19" spans="4:7" ht="19.5" thickBot="1" x14ac:dyDescent="0.3">
      <c r="D19" s="10">
        <v>9</v>
      </c>
      <c r="E19" s="12">
        <v>40.700000000000003</v>
      </c>
      <c r="F19" s="12">
        <v>40.9</v>
      </c>
      <c r="G19" s="13">
        <v>8.16</v>
      </c>
    </row>
    <row r="20" spans="4:7" ht="19.5" thickBot="1" x14ac:dyDescent="0.3">
      <c r="D20" s="11">
        <v>10</v>
      </c>
      <c r="E20" s="13">
        <v>42.2</v>
      </c>
      <c r="F20" s="13">
        <v>42</v>
      </c>
      <c r="G20" s="13">
        <v>8.42</v>
      </c>
    </row>
    <row r="21" spans="4:7" ht="19.5" thickBot="1" x14ac:dyDescent="0.3">
      <c r="D21" s="11">
        <v>11</v>
      </c>
      <c r="E21" s="13">
        <v>43.8</v>
      </c>
      <c r="F21" s="13">
        <v>43.9</v>
      </c>
      <c r="G21" s="13">
        <v>7.31</v>
      </c>
    </row>
    <row r="22" spans="4:7" ht="15.75" thickBot="1" x14ac:dyDescent="0.3">
      <c r="D22" s="10">
        <v>12</v>
      </c>
      <c r="E22" s="12">
        <v>45.6</v>
      </c>
      <c r="F22" s="12">
        <v>45.4</v>
      </c>
      <c r="G22" s="12">
        <v>7.58</v>
      </c>
    </row>
    <row r="23" spans="4:7" ht="15.75" thickBot="1" x14ac:dyDescent="0.3">
      <c r="D23" s="10">
        <v>13</v>
      </c>
      <c r="E23" s="12">
        <v>54.3</v>
      </c>
      <c r="F23" s="12">
        <v>52.8</v>
      </c>
      <c r="G23" s="12">
        <v>8.93</v>
      </c>
    </row>
    <row r="24" spans="4:7" ht="15.75" thickBot="1" x14ac:dyDescent="0.3">
      <c r="D24" s="10">
        <v>14</v>
      </c>
      <c r="E24" s="12">
        <v>55.2</v>
      </c>
      <c r="F24" s="12">
        <v>54.3</v>
      </c>
      <c r="G24" s="12">
        <v>9.1300000000000008</v>
      </c>
    </row>
    <row r="25" spans="4:7" ht="15.75" thickBot="1" x14ac:dyDescent="0.3">
      <c r="D25" s="10">
        <v>15</v>
      </c>
      <c r="E25" s="12">
        <v>55.9</v>
      </c>
      <c r="F25" s="12">
        <v>53.8</v>
      </c>
      <c r="G25" s="12">
        <v>9.14</v>
      </c>
    </row>
    <row r="26" spans="4:7" ht="15.75" thickBot="1" x14ac:dyDescent="0.3">
      <c r="D26" s="10">
        <v>16</v>
      </c>
      <c r="E26" s="12">
        <v>55.9</v>
      </c>
      <c r="F26" s="12">
        <v>56.1</v>
      </c>
      <c r="G26" s="12">
        <v>9.33</v>
      </c>
    </row>
    <row r="27" spans="4:7" ht="15.75" thickBot="1" x14ac:dyDescent="0.3">
      <c r="D27" s="10">
        <v>17</v>
      </c>
      <c r="E27" s="12">
        <v>57.2</v>
      </c>
      <c r="F27" s="12">
        <v>56.9</v>
      </c>
      <c r="G27" s="12">
        <v>9.51</v>
      </c>
    </row>
    <row r="28" spans="4:7" ht="15.75" thickBot="1" x14ac:dyDescent="0.3">
      <c r="D28" s="10">
        <v>18</v>
      </c>
      <c r="E28" s="12">
        <v>58.9</v>
      </c>
      <c r="F28" s="12">
        <v>58.1</v>
      </c>
      <c r="G28" s="12">
        <v>9.75</v>
      </c>
    </row>
    <row r="29" spans="4:7" ht="15.75" thickBot="1" x14ac:dyDescent="0.3">
      <c r="D29" s="10">
        <v>19</v>
      </c>
      <c r="E29" s="12">
        <v>59.5</v>
      </c>
      <c r="F29" s="12">
        <v>56.1</v>
      </c>
      <c r="G29" s="12">
        <v>9.6300000000000008</v>
      </c>
    </row>
    <row r="30" spans="4:7" ht="19.5" thickBot="1" x14ac:dyDescent="0.3">
      <c r="D30" s="11">
        <v>20</v>
      </c>
      <c r="E30" s="13">
        <v>58.5</v>
      </c>
      <c r="F30" s="13">
        <v>59.1</v>
      </c>
      <c r="G30" s="12">
        <v>9.8000000000000007</v>
      </c>
    </row>
    <row r="31" spans="4:7" ht="15.75" thickBot="1" x14ac:dyDescent="0.3">
      <c r="D31" s="10">
        <v>21</v>
      </c>
      <c r="E31" s="12">
        <v>56.9</v>
      </c>
      <c r="F31" s="12">
        <v>56.3</v>
      </c>
      <c r="G31" s="12">
        <v>8.7100000000000009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6D41-6743-4870-9697-DBE5963AFDFC}">
  <dimension ref="D6:G35"/>
  <sheetViews>
    <sheetView tabSelected="1" workbookViewId="0">
      <selection activeCell="G35" sqref="G35"/>
    </sheetView>
  </sheetViews>
  <sheetFormatPr defaultRowHeight="15" x14ac:dyDescent="0.25"/>
  <cols>
    <col min="4" max="4" width="15.28515625" customWidth="1"/>
    <col min="5" max="5" width="14.7109375" customWidth="1"/>
    <col min="6" max="6" width="18" customWidth="1"/>
    <col min="7" max="7" width="25.28515625" customWidth="1"/>
  </cols>
  <sheetData>
    <row r="6" spans="4:7" ht="15.75" thickBot="1" x14ac:dyDescent="0.3"/>
    <row r="7" spans="4:7" ht="65.099999999999994" customHeight="1" x14ac:dyDescent="0.25">
      <c r="D7" s="1" t="s">
        <v>0</v>
      </c>
      <c r="E7" s="5" t="s">
        <v>2</v>
      </c>
      <c r="F7" s="5" t="s">
        <v>2</v>
      </c>
      <c r="G7" s="5" t="s">
        <v>7</v>
      </c>
    </row>
    <row r="8" spans="4:7" ht="65.099999999999994" customHeight="1" x14ac:dyDescent="0.25">
      <c r="D8" s="2" t="s">
        <v>1</v>
      </c>
      <c r="E8" s="6" t="s">
        <v>3</v>
      </c>
      <c r="F8" s="6" t="s">
        <v>5</v>
      </c>
      <c r="G8" s="6"/>
    </row>
    <row r="9" spans="4:7" ht="65.099999999999994" customHeight="1" x14ac:dyDescent="0.25">
      <c r="D9" s="3"/>
      <c r="E9" s="6" t="s">
        <v>4</v>
      </c>
      <c r="F9" s="6" t="s">
        <v>6</v>
      </c>
      <c r="G9" s="9"/>
    </row>
    <row r="10" spans="4:7" ht="65.099999999999994" customHeight="1" thickBot="1" x14ac:dyDescent="0.3">
      <c r="D10" s="4"/>
      <c r="E10" s="7"/>
      <c r="F10" s="8"/>
      <c r="G10" s="7"/>
    </row>
    <row r="11" spans="4:7" ht="19.5" thickBot="1" x14ac:dyDescent="0.3">
      <c r="D11" s="11">
        <v>1</v>
      </c>
      <c r="E11" s="13">
        <v>4.0999999999999996</v>
      </c>
      <c r="F11" s="13">
        <v>4.9000000000000004</v>
      </c>
      <c r="G11" s="13">
        <v>0.9</v>
      </c>
    </row>
    <row r="12" spans="4:7" ht="19.5" thickBot="1" x14ac:dyDescent="0.3">
      <c r="D12" s="10">
        <v>2</v>
      </c>
      <c r="E12" s="12">
        <v>5.8</v>
      </c>
      <c r="F12" s="12">
        <v>6.1</v>
      </c>
      <c r="G12" s="13">
        <v>1.19</v>
      </c>
    </row>
    <row r="13" spans="4:7" ht="19.5" thickBot="1" x14ac:dyDescent="0.3">
      <c r="D13" s="10">
        <v>3</v>
      </c>
      <c r="E13" s="12">
        <v>14.3</v>
      </c>
      <c r="F13" s="12">
        <v>14.2</v>
      </c>
      <c r="G13" s="13">
        <v>2.85</v>
      </c>
    </row>
    <row r="14" spans="4:7" ht="19.5" thickBot="1" x14ac:dyDescent="0.3">
      <c r="D14" s="10">
        <v>4</v>
      </c>
      <c r="E14" s="12">
        <v>26.9</v>
      </c>
      <c r="F14" s="12">
        <v>19.899999999999999</v>
      </c>
      <c r="G14" s="13">
        <v>4.68</v>
      </c>
    </row>
    <row r="15" spans="4:7" ht="19.5" thickBot="1" x14ac:dyDescent="0.3">
      <c r="D15" s="10">
        <v>5</v>
      </c>
      <c r="E15" s="12">
        <v>34.200000000000003</v>
      </c>
      <c r="F15" s="12">
        <v>31.5</v>
      </c>
      <c r="G15" s="13">
        <v>6.57</v>
      </c>
    </row>
    <row r="16" spans="4:7" ht="19.5" thickBot="1" x14ac:dyDescent="0.3">
      <c r="D16" s="10">
        <v>6</v>
      </c>
      <c r="E16" s="12">
        <v>38.4</v>
      </c>
      <c r="F16" s="12">
        <v>36.799999999999997</v>
      </c>
      <c r="G16" s="13">
        <v>7.52</v>
      </c>
    </row>
    <row r="17" spans="4:7" ht="19.5" thickBot="1" x14ac:dyDescent="0.3">
      <c r="D17" s="10">
        <v>7</v>
      </c>
      <c r="E17" s="12">
        <v>39.5</v>
      </c>
      <c r="F17" s="12">
        <v>38.700000000000003</v>
      </c>
      <c r="G17" s="13">
        <v>7.82</v>
      </c>
    </row>
    <row r="18" spans="4:7" ht="19.5" thickBot="1" x14ac:dyDescent="0.3">
      <c r="D18" s="10">
        <v>8</v>
      </c>
      <c r="E18" s="12">
        <v>39.6</v>
      </c>
      <c r="F18" s="12">
        <v>40.299999999999997</v>
      </c>
      <c r="G18" s="13">
        <v>7.99</v>
      </c>
    </row>
    <row r="19" spans="4:7" ht="19.5" thickBot="1" x14ac:dyDescent="0.3">
      <c r="D19" s="10">
        <v>9</v>
      </c>
      <c r="E19" s="12">
        <v>40.700000000000003</v>
      </c>
      <c r="F19" s="12">
        <v>40.9</v>
      </c>
      <c r="G19" s="13">
        <v>8.16</v>
      </c>
    </row>
    <row r="20" spans="4:7" ht="19.5" thickBot="1" x14ac:dyDescent="0.3">
      <c r="D20" s="11">
        <v>10</v>
      </c>
      <c r="E20" s="13">
        <v>42.2</v>
      </c>
      <c r="F20" s="13">
        <v>42</v>
      </c>
      <c r="G20" s="13">
        <v>8.42</v>
      </c>
    </row>
    <row r="21" spans="4:7" ht="19.5" thickBot="1" x14ac:dyDescent="0.3">
      <c r="D21" s="11">
        <v>11</v>
      </c>
      <c r="E21" s="13">
        <v>43.8</v>
      </c>
      <c r="F21" s="13">
        <v>43.9</v>
      </c>
      <c r="G21" s="13">
        <v>7.31</v>
      </c>
    </row>
    <row r="22" spans="4:7" ht="15.75" thickBot="1" x14ac:dyDescent="0.3">
      <c r="D22" s="10">
        <v>12</v>
      </c>
      <c r="E22" s="12">
        <v>45.6</v>
      </c>
      <c r="F22" s="12">
        <v>45.4</v>
      </c>
      <c r="G22" s="12">
        <v>7.58</v>
      </c>
    </row>
    <row r="23" spans="4:7" ht="15.75" thickBot="1" x14ac:dyDescent="0.3">
      <c r="D23" s="10">
        <v>13</v>
      </c>
      <c r="E23" s="12">
        <v>54.3</v>
      </c>
      <c r="F23" s="12">
        <v>52.8</v>
      </c>
      <c r="G23" s="12">
        <v>8.93</v>
      </c>
    </row>
    <row r="24" spans="4:7" ht="15.75" thickBot="1" x14ac:dyDescent="0.3">
      <c r="D24" s="10">
        <v>14</v>
      </c>
      <c r="E24" s="12">
        <v>55.2</v>
      </c>
      <c r="F24" s="12">
        <v>54.3</v>
      </c>
      <c r="G24" s="12">
        <v>9.1300000000000008</v>
      </c>
    </row>
    <row r="25" spans="4:7" ht="15.75" thickBot="1" x14ac:dyDescent="0.3">
      <c r="D25" s="10">
        <v>15</v>
      </c>
      <c r="E25" s="12">
        <v>55.9</v>
      </c>
      <c r="F25" s="12">
        <v>53.8</v>
      </c>
      <c r="G25" s="12">
        <v>9.14</v>
      </c>
    </row>
    <row r="26" spans="4:7" ht="15.75" thickBot="1" x14ac:dyDescent="0.3">
      <c r="D26" s="10">
        <v>16</v>
      </c>
      <c r="E26" s="12">
        <v>55.9</v>
      </c>
      <c r="F26" s="12">
        <v>56.1</v>
      </c>
      <c r="G26" s="12">
        <v>9.33</v>
      </c>
    </row>
    <row r="27" spans="4:7" ht="15.75" thickBot="1" x14ac:dyDescent="0.3">
      <c r="D27" s="10">
        <v>17</v>
      </c>
      <c r="E27" s="12">
        <v>57.2</v>
      </c>
      <c r="F27" s="12">
        <v>56.9</v>
      </c>
      <c r="G27" s="12">
        <v>9.51</v>
      </c>
    </row>
    <row r="28" spans="4:7" ht="15.75" thickBot="1" x14ac:dyDescent="0.3">
      <c r="D28" s="10">
        <v>18</v>
      </c>
      <c r="E28" s="12">
        <v>58.9</v>
      </c>
      <c r="F28" s="12">
        <v>58.1</v>
      </c>
      <c r="G28" s="12">
        <v>9.75</v>
      </c>
    </row>
    <row r="29" spans="4:7" ht="15.75" thickBot="1" x14ac:dyDescent="0.3">
      <c r="D29" s="10">
        <v>19</v>
      </c>
      <c r="E29" s="12">
        <v>59.5</v>
      </c>
      <c r="F29" s="12">
        <v>56.1</v>
      </c>
      <c r="G29" s="12">
        <v>9.6300000000000008</v>
      </c>
    </row>
    <row r="30" spans="4:7" ht="19.5" thickBot="1" x14ac:dyDescent="0.3">
      <c r="D30" s="11">
        <v>20</v>
      </c>
      <c r="E30" s="13">
        <v>58.5</v>
      </c>
      <c r="F30" s="13">
        <v>59.1</v>
      </c>
      <c r="G30" s="12">
        <v>9.8000000000000007</v>
      </c>
    </row>
    <row r="31" spans="4:7" ht="15.75" thickBot="1" x14ac:dyDescent="0.3">
      <c r="D31" s="10">
        <v>21</v>
      </c>
      <c r="E31" s="12">
        <v>56.9</v>
      </c>
      <c r="F31" s="12">
        <v>56.3</v>
      </c>
      <c r="G31" s="12">
        <v>8.7100000000000009</v>
      </c>
    </row>
    <row r="34" spans="4:7" x14ac:dyDescent="0.25">
      <c r="D34">
        <f>LN(22)</f>
        <v>3.0910424533583161</v>
      </c>
      <c r="G34">
        <f>(3.1568*D34)+0.5554</f>
        <v>10.313202816761533</v>
      </c>
    </row>
    <row r="35" spans="4:7" x14ac:dyDescent="0.25">
      <c r="D35">
        <f>LN(23)</f>
        <v>3.1354942159291497</v>
      </c>
      <c r="G35">
        <f>(3.1568*D35)+0.5554</f>
        <v>10.45352814084514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Gabarito Exercícios Regressão</vt:lpstr>
      <vt:lpstr>Exercícios de Regressã</vt:lpstr>
      <vt:lpstr>Gabarito exercícios</vt:lpstr>
      <vt:lpstr>Exercícios de regressão</vt:lpstr>
      <vt:lpstr>Gabarito Participação conjunta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Demerval Luiz Polizelli</dc:creator>
  <cp:lastModifiedBy>Demerval Luiz Polizelli</cp:lastModifiedBy>
  <dcterms:created xsi:type="dcterms:W3CDTF">2019-04-15T15:57:32Z</dcterms:created>
  <dcterms:modified xsi:type="dcterms:W3CDTF">2019-04-15T19:27:53Z</dcterms:modified>
</cp:coreProperties>
</file>