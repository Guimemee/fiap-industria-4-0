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po\Desktop\"/>
    </mc:Choice>
  </mc:AlternateContent>
  <xr:revisionPtr revIDLastSave="0" documentId="13_ncr:1_{F49FD4A8-768A-45A7-B590-EA668890BF0C}" xr6:coauthVersionLast="41" xr6:coauthVersionMax="41" xr10:uidLastSave="{00000000-0000-0000-0000-000000000000}"/>
  <bookViews>
    <workbookView xWindow="-120" yWindow="-120" windowWidth="29040" windowHeight="15840" activeTab="2" xr2:uid="{C0873431-CF42-435A-A093-C9894E056C4B}"/>
  </bookViews>
  <sheets>
    <sheet name="Questão 1 " sheetId="1" r:id="rId1"/>
    <sheet name="Questão 1 Gabarito" sheetId="2" r:id="rId2"/>
    <sheet name="Questão 4" sheetId="3" r:id="rId3"/>
    <sheet name="Questão 4 Gabarito" sheetId="4" r:id="rId4"/>
    <sheet name="Questão 5" sheetId="5" r:id="rId5"/>
    <sheet name="Questão 5 Gabarito" sheetId="6" r:id="rId6"/>
    <sheet name="Exercício 6" sheetId="7" r:id="rId7"/>
    <sheet name="Exercício 6 Gabarito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7" i="2" l="1"/>
  <c r="E36" i="2"/>
  <c r="D37" i="2"/>
  <c r="D36" i="2"/>
</calcChain>
</file>

<file path=xl/sharedStrings.xml><?xml version="1.0" encoding="utf-8"?>
<sst xmlns="http://schemas.openxmlformats.org/spreadsheetml/2006/main" count="62" uniqueCount="28">
  <si>
    <t>Período (Meses)</t>
  </si>
  <si>
    <t>Receita de vendas TEX</t>
  </si>
  <si>
    <r>
      <t xml:space="preserve">Receitas de Vendas </t>
    </r>
    <r>
      <rPr>
        <u/>
        <sz val="11"/>
        <color rgb="FF000000"/>
        <rFont val="Calibri"/>
        <family val="2"/>
        <scheme val="minor"/>
      </rPr>
      <t>Estimadas</t>
    </r>
    <r>
      <rPr>
        <sz val="11"/>
        <color rgb="FF000000"/>
        <rFont val="Calibri"/>
        <family val="2"/>
        <scheme val="minor"/>
      </rPr>
      <t xml:space="preserve"> do Concorrente Braz Modas</t>
    </r>
  </si>
  <si>
    <t>Vendas de rua</t>
  </si>
  <si>
    <t>Comércio Eletrônico</t>
  </si>
  <si>
    <t>(R$ Milhões)</t>
  </si>
  <si>
    <t>Evolução dos canais de comercialização da região :</t>
  </si>
  <si>
    <t>comércio eletrônico e comércio de rua</t>
  </si>
  <si>
    <t>Períodos por trimestre</t>
  </si>
  <si>
    <t>Crescimento de Vendas pelo comércio eletrônico (%)</t>
  </si>
  <si>
    <t>Crescimento de Vendas varejo de rua (%)</t>
  </si>
  <si>
    <t xml:space="preserve">Impacto Financeiro </t>
  </si>
  <si>
    <t>Impacto Financeiro</t>
  </si>
  <si>
    <t>(Estimativa)</t>
  </si>
  <si>
    <t>Mensal</t>
  </si>
  <si>
    <t>MENSAL</t>
  </si>
  <si>
    <t>         Unidades</t>
  </si>
  <si>
    <t>(Unidades)</t>
  </si>
  <si>
    <t>(R$)</t>
  </si>
  <si>
    <t>Estoques do TEX</t>
  </si>
  <si>
    <t>Estoques do Braz Modas</t>
  </si>
  <si>
    <t>TEX MODAS</t>
  </si>
  <si>
    <t>BRAZ MODAS</t>
  </si>
  <si>
    <t>Meses</t>
  </si>
  <si>
    <t>Vendas (%)</t>
  </si>
  <si>
    <t>Desconto (%)</t>
  </si>
  <si>
    <t>Vendas</t>
  </si>
  <si>
    <t>Desconto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</si>
</sst>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0" fillId="0" borderId="7" xfId="0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3" fontId="1" fillId="0" borderId="6" xfId="0" applyNumberFormat="1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3" fontId="1" fillId="0" borderId="13" xfId="0" applyNumberFormat="1" applyFont="1" applyBorder="1" applyAlignment="1">
      <alignment horizontal="center" vertical="center" wrapText="1"/>
    </xf>
    <xf numFmtId="3" fontId="1" fillId="0" borderId="5" xfId="0" applyNumberFormat="1" applyFont="1" applyBorder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" formatCode="#,##0"/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" formatCode="#,##0"/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" formatCode="#,##0"/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" formatCode="#,##0"/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border outline="0"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" formatCode="#,##0"/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" formatCode="#,##0"/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" formatCode="#,##0"/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" formatCode="#,##0"/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border outline="0"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8756901603830371E-2"/>
          <c:y val="2.2155085599194362E-2"/>
          <c:w val="0.92698498834327903"/>
          <c:h val="0.93112131376327201"/>
        </c:manualLayout>
      </c:layout>
      <c:scatterChart>
        <c:scatterStyle val="lineMarker"/>
        <c:varyColors val="0"/>
        <c:ser>
          <c:idx val="0"/>
          <c:order val="0"/>
          <c:tx>
            <c:v>Tex Receita em função de tempo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7744749892293734"/>
                  <c:y val="0.3302108460007453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'Questão 1 Gabarito'!$C$11:$C$31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xVal>
          <c:yVal>
            <c:numRef>
              <c:f>'Questão 1 Gabarito'!$D$11:$D$31</c:f>
              <c:numCache>
                <c:formatCode>General</c:formatCode>
                <c:ptCount val="21"/>
                <c:pt idx="0">
                  <c:v>3.4</c:v>
                </c:pt>
                <c:pt idx="1">
                  <c:v>5.8</c:v>
                </c:pt>
                <c:pt idx="2">
                  <c:v>14.6</c:v>
                </c:pt>
                <c:pt idx="3">
                  <c:v>26.9</c:v>
                </c:pt>
                <c:pt idx="4">
                  <c:v>34.700000000000003</c:v>
                </c:pt>
                <c:pt idx="5">
                  <c:v>38</c:v>
                </c:pt>
                <c:pt idx="6">
                  <c:v>39</c:v>
                </c:pt>
                <c:pt idx="7">
                  <c:v>39.5</c:v>
                </c:pt>
                <c:pt idx="8">
                  <c:v>40.5</c:v>
                </c:pt>
                <c:pt idx="9">
                  <c:v>42.1</c:v>
                </c:pt>
                <c:pt idx="10">
                  <c:v>43.1</c:v>
                </c:pt>
                <c:pt idx="11">
                  <c:v>44.7</c:v>
                </c:pt>
                <c:pt idx="12">
                  <c:v>50.1</c:v>
                </c:pt>
                <c:pt idx="13">
                  <c:v>51.2</c:v>
                </c:pt>
                <c:pt idx="14">
                  <c:v>52.9</c:v>
                </c:pt>
                <c:pt idx="15">
                  <c:v>53.1</c:v>
                </c:pt>
                <c:pt idx="16">
                  <c:v>54.2</c:v>
                </c:pt>
                <c:pt idx="17">
                  <c:v>54.9</c:v>
                </c:pt>
                <c:pt idx="18">
                  <c:v>55.5</c:v>
                </c:pt>
                <c:pt idx="19">
                  <c:v>56.5</c:v>
                </c:pt>
                <c:pt idx="20">
                  <c:v>56.9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3B-45FB-BB21-BE45A464296D}"/>
            </c:ext>
          </c:extLst>
        </c:ser>
        <c:ser>
          <c:idx val="1"/>
          <c:order val="1"/>
          <c:tx>
            <c:v>Braz Modas: Receita em função do tempo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9013532796176962"/>
                  <c:y val="0.6143798717003274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'Questão 1 Gabarito'!$C$11:$C$31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xVal>
          <c:yVal>
            <c:numRef>
              <c:f>'Questão 1 Gabarito'!$E$11:$E$31</c:f>
              <c:numCache>
                <c:formatCode>General</c:formatCode>
                <c:ptCount val="21"/>
                <c:pt idx="0">
                  <c:v>4.8</c:v>
                </c:pt>
                <c:pt idx="1">
                  <c:v>6.1</c:v>
                </c:pt>
                <c:pt idx="2">
                  <c:v>14.3</c:v>
                </c:pt>
                <c:pt idx="3">
                  <c:v>19.8</c:v>
                </c:pt>
                <c:pt idx="4">
                  <c:v>31.6</c:v>
                </c:pt>
                <c:pt idx="5">
                  <c:v>36.700000000000003</c:v>
                </c:pt>
                <c:pt idx="6">
                  <c:v>38</c:v>
                </c:pt>
                <c:pt idx="7">
                  <c:v>40.200000000000003</c:v>
                </c:pt>
                <c:pt idx="8">
                  <c:v>40.700000000000003</c:v>
                </c:pt>
                <c:pt idx="9">
                  <c:v>41.9</c:v>
                </c:pt>
                <c:pt idx="10">
                  <c:v>42.9</c:v>
                </c:pt>
                <c:pt idx="11">
                  <c:v>44.9</c:v>
                </c:pt>
                <c:pt idx="12">
                  <c:v>50.2</c:v>
                </c:pt>
                <c:pt idx="13">
                  <c:v>52.3</c:v>
                </c:pt>
                <c:pt idx="14">
                  <c:v>52.8</c:v>
                </c:pt>
                <c:pt idx="15">
                  <c:v>53.1</c:v>
                </c:pt>
                <c:pt idx="16">
                  <c:v>53.9</c:v>
                </c:pt>
                <c:pt idx="17">
                  <c:v>55.1</c:v>
                </c:pt>
                <c:pt idx="18">
                  <c:v>56.1</c:v>
                </c:pt>
                <c:pt idx="19">
                  <c:v>56.1</c:v>
                </c:pt>
                <c:pt idx="20">
                  <c:v>56.3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33B-45FB-BB21-BE45A4642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9849880"/>
        <c:axId val="449843976"/>
      </c:scatterChart>
      <c:valAx>
        <c:axId val="449849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9843976"/>
        <c:crosses val="autoZero"/>
        <c:crossBetween val="midCat"/>
      </c:valAx>
      <c:valAx>
        <c:axId val="449843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9849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563711695525834"/>
          <c:y val="0.62185201925288047"/>
          <c:w val="0.39504972821354262"/>
          <c:h val="0.304130805401590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2737368225011474E-2"/>
          <c:y val="0.11381663373695487"/>
          <c:w val="0.90619457221312683"/>
          <c:h val="0.81499574857567014"/>
        </c:manualLayout>
      </c:layout>
      <c:scatterChart>
        <c:scatterStyle val="lineMarker"/>
        <c:varyColors val="0"/>
        <c:ser>
          <c:idx val="0"/>
          <c:order val="0"/>
          <c:tx>
            <c:v>Crescimento Vendas Comércio Eletrônico Região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7781849051046839E-2"/>
                  <c:y val="-0.1163923758998485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'Questão 4 Gabarito'!$D$11:$D$15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'Questão 4 Gabarito'!$E$11:$E$15</c:f>
              <c:numCache>
                <c:formatCode>General</c:formatCode>
                <c:ptCount val="5"/>
                <c:pt idx="0">
                  <c:v>16.2</c:v>
                </c:pt>
                <c:pt idx="1">
                  <c:v>17.7</c:v>
                </c:pt>
                <c:pt idx="2">
                  <c:v>18</c:v>
                </c:pt>
                <c:pt idx="3">
                  <c:v>19</c:v>
                </c:pt>
                <c:pt idx="4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21-4239-A660-675EC78CE8B5}"/>
            </c:ext>
          </c:extLst>
        </c:ser>
        <c:ser>
          <c:idx val="1"/>
          <c:order val="1"/>
          <c:tx>
            <c:v>Crescimento vendas de rua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289268296908432"/>
                  <c:y val="-7.801671719486696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'Questão 4 Gabarito'!$D$11:$D$15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'Questão 4 Gabarito'!$F$11:$F$15</c:f>
              <c:numCache>
                <c:formatCode>General</c:formatCode>
                <c:ptCount val="5"/>
                <c:pt idx="0">
                  <c:v>1.75</c:v>
                </c:pt>
                <c:pt idx="1">
                  <c:v>1.55</c:v>
                </c:pt>
                <c:pt idx="2">
                  <c:v>1.75</c:v>
                </c:pt>
                <c:pt idx="3">
                  <c:v>2</c:v>
                </c:pt>
                <c:pt idx="4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021-4239-A660-675EC78CE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1578280"/>
        <c:axId val="581580576"/>
      </c:scatterChart>
      <c:valAx>
        <c:axId val="581578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1580576"/>
        <c:crosses val="autoZero"/>
        <c:crossBetween val="midCat"/>
      </c:valAx>
      <c:valAx>
        <c:axId val="58158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15782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4128617586168064"/>
          <c:y val="0.52852247842453504"/>
          <c:w val="0.30227818057396288"/>
          <c:h val="0.237822671508546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4885129650055883E-2"/>
          <c:y val="2.8451338842207692E-2"/>
          <c:w val="0.85484086333868459"/>
          <c:h val="0.91154668158002894"/>
        </c:manualLayout>
      </c:layout>
      <c:scatterChart>
        <c:scatterStyle val="lineMarker"/>
        <c:varyColors val="0"/>
        <c:ser>
          <c:idx val="0"/>
          <c:order val="0"/>
          <c:tx>
            <c:v>TEX: impacto financeiro em função de estoques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7014703259179982"/>
                  <c:y val="0.2951222552197107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'Questão 5 Gabarito'!$D$12:$D$23</c:f>
              <c:numCache>
                <c:formatCode>#,##0</c:formatCode>
                <c:ptCount val="12"/>
                <c:pt idx="0">
                  <c:v>1100000</c:v>
                </c:pt>
                <c:pt idx="1">
                  <c:v>1300000</c:v>
                </c:pt>
                <c:pt idx="2">
                  <c:v>1650000</c:v>
                </c:pt>
                <c:pt idx="3">
                  <c:v>1600000</c:v>
                </c:pt>
                <c:pt idx="4">
                  <c:v>1150000</c:v>
                </c:pt>
                <c:pt idx="5">
                  <c:v>1050000</c:v>
                </c:pt>
                <c:pt idx="6">
                  <c:v>1990000</c:v>
                </c:pt>
                <c:pt idx="7">
                  <c:v>1945000</c:v>
                </c:pt>
                <c:pt idx="8">
                  <c:v>1395000</c:v>
                </c:pt>
                <c:pt idx="9">
                  <c:v>1350000</c:v>
                </c:pt>
                <c:pt idx="10">
                  <c:v>1800010</c:v>
                </c:pt>
                <c:pt idx="11">
                  <c:v>1000070</c:v>
                </c:pt>
              </c:numCache>
            </c:numRef>
          </c:xVal>
          <c:yVal>
            <c:numRef>
              <c:f>'Questão 5 Gabarito'!$E$12:$E$23</c:f>
              <c:numCache>
                <c:formatCode>#,##0</c:formatCode>
                <c:ptCount val="12"/>
                <c:pt idx="0">
                  <c:v>2325974</c:v>
                </c:pt>
                <c:pt idx="1">
                  <c:v>2890500</c:v>
                </c:pt>
                <c:pt idx="2">
                  <c:v>3430300</c:v>
                </c:pt>
                <c:pt idx="3">
                  <c:v>3355780</c:v>
                </c:pt>
                <c:pt idx="4">
                  <c:v>2398158</c:v>
                </c:pt>
                <c:pt idx="5">
                  <c:v>2300000</c:v>
                </c:pt>
                <c:pt idx="6">
                  <c:v>3899750</c:v>
                </c:pt>
                <c:pt idx="7">
                  <c:v>3991250</c:v>
                </c:pt>
                <c:pt idx="8">
                  <c:v>2769980</c:v>
                </c:pt>
                <c:pt idx="9">
                  <c:v>2790005</c:v>
                </c:pt>
                <c:pt idx="10">
                  <c:v>3844990</c:v>
                </c:pt>
                <c:pt idx="11">
                  <c:v>1990657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A0-42D0-B987-E6945C1A3DE6}"/>
            </c:ext>
          </c:extLst>
        </c:ser>
        <c:ser>
          <c:idx val="1"/>
          <c:order val="1"/>
          <c:tx>
            <c:v>Braz modas: Impacto Financeiro em função do estoque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4787277803866754E-2"/>
                  <c:y val="0.1248769382856449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'Questão 5 Gabarito'!$F$12:$F$23</c:f>
              <c:numCache>
                <c:formatCode>#,##0</c:formatCode>
                <c:ptCount val="12"/>
                <c:pt idx="0">
                  <c:v>1974026</c:v>
                </c:pt>
                <c:pt idx="1">
                  <c:v>2009500</c:v>
                </c:pt>
                <c:pt idx="2">
                  <c:v>2238700</c:v>
                </c:pt>
                <c:pt idx="3">
                  <c:v>2144220</c:v>
                </c:pt>
                <c:pt idx="4">
                  <c:v>1951842</c:v>
                </c:pt>
                <c:pt idx="5">
                  <c:v>1938000</c:v>
                </c:pt>
                <c:pt idx="6">
                  <c:v>1995214</c:v>
                </c:pt>
                <c:pt idx="7">
                  <c:v>1944011</c:v>
                </c:pt>
                <c:pt idx="8">
                  <c:v>1738300</c:v>
                </c:pt>
                <c:pt idx="9">
                  <c:v>1699735</c:v>
                </c:pt>
                <c:pt idx="10">
                  <c:v>1999930</c:v>
                </c:pt>
                <c:pt idx="11">
                  <c:v>2004413</c:v>
                </c:pt>
              </c:numCache>
            </c:numRef>
          </c:xVal>
          <c:yVal>
            <c:numRef>
              <c:f>'Questão 5 Gabarito'!$G$12:$G$23</c:f>
              <c:numCache>
                <c:formatCode>#,##0</c:formatCode>
                <c:ptCount val="12"/>
                <c:pt idx="0">
                  <c:v>4635943</c:v>
                </c:pt>
                <c:pt idx="1">
                  <c:v>4923750</c:v>
                </c:pt>
                <c:pt idx="2">
                  <c:v>5505120</c:v>
                </c:pt>
                <c:pt idx="3">
                  <c:v>5265123</c:v>
                </c:pt>
                <c:pt idx="4">
                  <c:v>4877342</c:v>
                </c:pt>
                <c:pt idx="5">
                  <c:v>4539548</c:v>
                </c:pt>
                <c:pt idx="6">
                  <c:v>4889035</c:v>
                </c:pt>
                <c:pt idx="7">
                  <c:v>4780573</c:v>
                </c:pt>
                <c:pt idx="8">
                  <c:v>4345876</c:v>
                </c:pt>
                <c:pt idx="9">
                  <c:v>4245743</c:v>
                </c:pt>
                <c:pt idx="10">
                  <c:v>4696788</c:v>
                </c:pt>
                <c:pt idx="11">
                  <c:v>4978642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A0-42D0-B987-E6945C1A3D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1584184"/>
        <c:axId val="581584512"/>
      </c:scatterChart>
      <c:valAx>
        <c:axId val="581584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1584512"/>
        <c:crosses val="autoZero"/>
        <c:crossBetween val="midCat"/>
      </c:valAx>
      <c:valAx>
        <c:axId val="58158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15841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241670033964205"/>
          <c:y val="0.58923252258897818"/>
          <c:w val="0.33648759924426924"/>
          <c:h val="0.325899597933907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5869069515916808E-2"/>
          <c:y val="2.8506637843061674E-2"/>
          <c:w val="0.93964274150770521"/>
          <c:h val="0.91137476066769607"/>
        </c:manualLayout>
      </c:layout>
      <c:scatterChart>
        <c:scatterStyle val="lineMarker"/>
        <c:varyColors val="0"/>
        <c:ser>
          <c:idx val="0"/>
          <c:order val="0"/>
          <c:tx>
            <c:v>TEX: Vendas em função de desconto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5142483173855238"/>
                  <c:y val="0.4147507627506991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'Exercício 6 Gabarito'!$E$8:$E$12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3.2</c:v>
                </c:pt>
                <c:pt idx="3">
                  <c:v>3.5</c:v>
                </c:pt>
                <c:pt idx="4">
                  <c:v>3.3</c:v>
                </c:pt>
              </c:numCache>
            </c:numRef>
          </c:xVal>
          <c:yVal>
            <c:numRef>
              <c:f>'Exercício 6 Gabarito'!$D$8:$D$12</c:f>
              <c:numCache>
                <c:formatCode>General</c:formatCode>
                <c:ptCount val="5"/>
                <c:pt idx="0">
                  <c:v>2.2000000000000002</c:v>
                </c:pt>
                <c:pt idx="1">
                  <c:v>3.2</c:v>
                </c:pt>
                <c:pt idx="2">
                  <c:v>3.9</c:v>
                </c:pt>
                <c:pt idx="3">
                  <c:v>4.2</c:v>
                </c:pt>
                <c:pt idx="4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C6-479F-BD86-AFD0FB2334EF}"/>
            </c:ext>
          </c:extLst>
        </c:ser>
        <c:ser>
          <c:idx val="1"/>
          <c:order val="1"/>
          <c:tx>
            <c:v>Braz modas: vendas em função de desconto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1662953548129312"/>
                  <c:y val="-7.719333670260314E-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'Exercício 6 Gabarito'!$G$8:$G$12</c:f>
              <c:numCache>
                <c:formatCode>General</c:formatCode>
                <c:ptCount val="5"/>
                <c:pt idx="0">
                  <c:v>3</c:v>
                </c:pt>
                <c:pt idx="1">
                  <c:v>2.5</c:v>
                </c:pt>
                <c:pt idx="2">
                  <c:v>3</c:v>
                </c:pt>
                <c:pt idx="3">
                  <c:v>3.2</c:v>
                </c:pt>
                <c:pt idx="4">
                  <c:v>3.1</c:v>
                </c:pt>
              </c:numCache>
            </c:numRef>
          </c:xVal>
          <c:yVal>
            <c:numRef>
              <c:f>'Exercício 6 Gabarito'!$F$8:$F$12</c:f>
              <c:numCache>
                <c:formatCode>General</c:formatCode>
                <c:ptCount val="5"/>
                <c:pt idx="0">
                  <c:v>3.5</c:v>
                </c:pt>
                <c:pt idx="1">
                  <c:v>2.8</c:v>
                </c:pt>
                <c:pt idx="2">
                  <c:v>3</c:v>
                </c:pt>
                <c:pt idx="3">
                  <c:v>3.5</c:v>
                </c:pt>
                <c:pt idx="4">
                  <c:v>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C6-479F-BD86-AFD0FB233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715064"/>
        <c:axId val="588716704"/>
      </c:scatterChart>
      <c:valAx>
        <c:axId val="588715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8716704"/>
        <c:crosses val="autoZero"/>
        <c:crossBetween val="midCat"/>
      </c:valAx>
      <c:valAx>
        <c:axId val="58871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8715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78554845998581"/>
          <c:y val="0.65160215670978305"/>
          <c:w val="0.33164582773609991"/>
          <c:h val="0.290251852166249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561974</xdr:colOff>
      <xdr:row>5</xdr:row>
      <xdr:rowOff>676275</xdr:rowOff>
    </xdr:from>
    <xdr:to>
      <xdr:col>20</xdr:col>
      <xdr:colOff>209549</xdr:colOff>
      <xdr:row>28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9CB0331-E41D-456A-BB22-AAB8A82C59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962025</xdr:colOff>
      <xdr:row>31</xdr:row>
      <xdr:rowOff>104775</xdr:rowOff>
    </xdr:from>
    <xdr:to>
      <xdr:col>3</xdr:col>
      <xdr:colOff>1304925</xdr:colOff>
      <xdr:row>34</xdr:row>
      <xdr:rowOff>180975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437E1368-5CA4-4C84-9224-AA4107550960}"/>
            </a:ext>
          </a:extLst>
        </xdr:cNvPr>
        <xdr:cNvCxnSpPr/>
      </xdr:nvCxnSpPr>
      <xdr:spPr>
        <a:xfrm flipH="1" flipV="1">
          <a:off x="3467100" y="8515350"/>
          <a:ext cx="342900" cy="666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733425</xdr:colOff>
      <xdr:row>32</xdr:row>
      <xdr:rowOff>152400</xdr:rowOff>
    </xdr:from>
    <xdr:to>
      <xdr:col>3</xdr:col>
      <xdr:colOff>1057275</xdr:colOff>
      <xdr:row>36</xdr:row>
      <xdr:rowOff>114300</xdr:rowOff>
    </xdr:to>
    <xdr:cxnSp macro="">
      <xdr:nvCxnSpPr>
        <xdr:cNvPr id="6" name="Conector de Seta Reta 5">
          <a:extLst>
            <a:ext uri="{FF2B5EF4-FFF2-40B4-BE49-F238E27FC236}">
              <a16:creationId xmlns:a16="http://schemas.microsoft.com/office/drawing/2014/main" id="{79D2E5AE-C7F4-4FE8-ACD7-011210948035}"/>
            </a:ext>
          </a:extLst>
        </xdr:cNvPr>
        <xdr:cNvCxnSpPr/>
      </xdr:nvCxnSpPr>
      <xdr:spPr>
        <a:xfrm flipH="1" flipV="1">
          <a:off x="3238500" y="8763000"/>
          <a:ext cx="323850" cy="7334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1047750</xdr:colOff>
      <xdr:row>31</xdr:row>
      <xdr:rowOff>76200</xdr:rowOff>
    </xdr:from>
    <xdr:to>
      <xdr:col>4</xdr:col>
      <xdr:colOff>1371600</xdr:colOff>
      <xdr:row>35</xdr:row>
      <xdr:rowOff>57150</xdr:rowOff>
    </xdr:to>
    <xdr:cxnSp macro="">
      <xdr:nvCxnSpPr>
        <xdr:cNvPr id="8" name="Conector de Seta Reta 7">
          <a:extLst>
            <a:ext uri="{FF2B5EF4-FFF2-40B4-BE49-F238E27FC236}">
              <a16:creationId xmlns:a16="http://schemas.microsoft.com/office/drawing/2014/main" id="{05C46AAB-5CB9-436E-BD35-0CC13E99E41B}"/>
            </a:ext>
          </a:extLst>
        </xdr:cNvPr>
        <xdr:cNvCxnSpPr/>
      </xdr:nvCxnSpPr>
      <xdr:spPr>
        <a:xfrm flipH="1" flipV="1">
          <a:off x="5029200" y="8486775"/>
          <a:ext cx="323850" cy="762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638175</xdr:colOff>
      <xdr:row>32</xdr:row>
      <xdr:rowOff>171450</xdr:rowOff>
    </xdr:from>
    <xdr:to>
      <xdr:col>4</xdr:col>
      <xdr:colOff>1000125</xdr:colOff>
      <xdr:row>36</xdr:row>
      <xdr:rowOff>95250</xdr:rowOff>
    </xdr:to>
    <xdr:cxnSp macro="">
      <xdr:nvCxnSpPr>
        <xdr:cNvPr id="10" name="Conector de Seta Reta 9">
          <a:extLst>
            <a:ext uri="{FF2B5EF4-FFF2-40B4-BE49-F238E27FC236}">
              <a16:creationId xmlns:a16="http://schemas.microsoft.com/office/drawing/2014/main" id="{45D22893-4C13-4B5D-862B-ECC9FFC74066}"/>
            </a:ext>
          </a:extLst>
        </xdr:cNvPr>
        <xdr:cNvCxnSpPr/>
      </xdr:nvCxnSpPr>
      <xdr:spPr>
        <a:xfrm flipH="1" flipV="1">
          <a:off x="4619625" y="8782050"/>
          <a:ext cx="361950" cy="6953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133350</xdr:colOff>
      <xdr:row>3</xdr:row>
      <xdr:rowOff>176211</xdr:rowOff>
    </xdr:from>
    <xdr:to>
      <xdr:col>17</xdr:col>
      <xdr:colOff>419100</xdr:colOff>
      <xdr:row>14</xdr:row>
      <xdr:rowOff>200024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EA4F572-4095-4BD0-9ED6-34AA883E40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295274</xdr:colOff>
      <xdr:row>5</xdr:row>
      <xdr:rowOff>42862</xdr:rowOff>
    </xdr:from>
    <xdr:to>
      <xdr:col>20</xdr:col>
      <xdr:colOff>457199</xdr:colOff>
      <xdr:row>28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E18EE99-2BE1-482D-A6A0-9D29D01D80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514350</xdr:colOff>
      <xdr:row>4</xdr:row>
      <xdr:rowOff>195261</xdr:rowOff>
    </xdr:from>
    <xdr:to>
      <xdr:col>21</xdr:col>
      <xdr:colOff>457200</xdr:colOff>
      <xdr:row>30</xdr:row>
      <xdr:rowOff>66674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515DA9C-4AC4-49D5-9A9B-C0904625F1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4CF64F-69DD-4071-89F2-682554250C58}" name="Tabela13" displayName="Tabela13" ref="C6:F22" totalsRowShown="0" headerRowDxfId="13" dataDxfId="12" tableBorderDxfId="11">
  <autoFilter ref="C6:F22" xr:uid="{43E8BEA0-8074-40CC-ACA8-22AAD8FEBF86}"/>
  <tableColumns count="4">
    <tableColumn id="1" xr3:uid="{7F02F60B-18BB-4FA8-AC9B-15482EB26E80}" name="Estoques do TEX" dataDxfId="10"/>
    <tableColumn id="2" xr3:uid="{9FDEFE17-BFED-4F23-8791-3FE1C6DB8D6B}" name="Impacto Financeiro " dataDxfId="9"/>
    <tableColumn id="3" xr3:uid="{A7D9C80F-2987-40C5-8E5B-8DAD5C81FAE9}" name="Estoques do Braz Modas" dataDxfId="8"/>
    <tableColumn id="4" xr3:uid="{80C8BBCE-C5DA-42E8-B0DF-9B57575293B4}" name="Impacto Financeiro" dataDxfId="7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6EEF82-2D60-4EDC-A7B5-7AADCC1A31BC}" name="Tabela1" displayName="Tabela1" ref="D7:G23" totalsRowShown="0" headerRowDxfId="6" dataDxfId="5" tableBorderDxfId="4">
  <autoFilter ref="D7:G23" xr:uid="{81FE47EE-5D95-4594-837A-32A15FBBA19B}"/>
  <tableColumns count="4">
    <tableColumn id="1" xr3:uid="{4DD63F31-78B3-4BB8-975F-C2107C198909}" name="Estoques do TEX" dataDxfId="3"/>
    <tableColumn id="2" xr3:uid="{A9BA71D9-60E4-4A17-AE82-01CC0E4F506C}" name="Impacto Financeiro " dataDxfId="2"/>
    <tableColumn id="3" xr3:uid="{665E1AC1-0F8F-40D6-9B45-8349FBAE8C29}" name="Estoques do Braz Modas" dataDxfId="1"/>
    <tableColumn id="4" xr3:uid="{4231D755-CF68-4A2E-A698-EF4B49E233FC}" name="Impacto Financeiro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6AA1-472B-40E6-B2BC-039C874F6232}">
  <dimension ref="C4:E32"/>
  <sheetViews>
    <sheetView topLeftCell="A10" workbookViewId="0">
      <selection activeCell="G39" sqref="G39"/>
    </sheetView>
  </sheetViews>
  <sheetFormatPr defaultRowHeight="15" x14ac:dyDescent="0.25"/>
  <cols>
    <col min="2" max="2" width="9.140625" customWidth="1"/>
    <col min="3" max="3" width="20.140625" customWidth="1"/>
    <col min="4" max="4" width="23.28515625" customWidth="1"/>
    <col min="5" max="5" width="20.85546875" customWidth="1"/>
  </cols>
  <sheetData>
    <row r="4" spans="3:5" ht="15.75" thickBot="1" x14ac:dyDescent="0.3"/>
    <row r="5" spans="3:5" ht="60" x14ac:dyDescent="0.25">
      <c r="C5" s="20" t="s">
        <v>0</v>
      </c>
      <c r="D5" s="20" t="s">
        <v>1</v>
      </c>
      <c r="E5" s="2" t="s">
        <v>2</v>
      </c>
    </row>
    <row r="6" spans="3:5" x14ac:dyDescent="0.25">
      <c r="C6" s="21"/>
      <c r="D6" s="21"/>
      <c r="E6" s="3"/>
    </row>
    <row r="7" spans="3:5" x14ac:dyDescent="0.25">
      <c r="C7" s="21"/>
      <c r="D7" s="21"/>
      <c r="E7" s="3" t="s">
        <v>3</v>
      </c>
    </row>
    <row r="8" spans="3:5" x14ac:dyDescent="0.25">
      <c r="C8" s="21"/>
      <c r="D8" s="3" t="s">
        <v>4</v>
      </c>
      <c r="E8" s="3" t="s">
        <v>5</v>
      </c>
    </row>
    <row r="9" spans="3:5" ht="15.75" thickBot="1" x14ac:dyDescent="0.3">
      <c r="C9" s="22"/>
      <c r="D9" s="5" t="s">
        <v>5</v>
      </c>
      <c r="E9" s="7"/>
    </row>
    <row r="10" spans="3:5" ht="15.75" thickBot="1" x14ac:dyDescent="0.3">
      <c r="C10" s="9">
        <v>1</v>
      </c>
      <c r="D10" s="5">
        <v>3.4</v>
      </c>
      <c r="E10" s="5">
        <v>4.8</v>
      </c>
    </row>
    <row r="11" spans="3:5" ht="15.75" thickBot="1" x14ac:dyDescent="0.3">
      <c r="C11" s="9">
        <v>2</v>
      </c>
      <c r="D11" s="5">
        <v>5.8</v>
      </c>
      <c r="E11" s="5">
        <v>6.1</v>
      </c>
    </row>
    <row r="12" spans="3:5" ht="15.75" thickBot="1" x14ac:dyDescent="0.3">
      <c r="C12" s="9">
        <v>3</v>
      </c>
      <c r="D12" s="5">
        <v>14.6</v>
      </c>
      <c r="E12" s="5">
        <v>14.3</v>
      </c>
    </row>
    <row r="13" spans="3:5" ht="15.75" thickBot="1" x14ac:dyDescent="0.3">
      <c r="C13" s="9">
        <v>4</v>
      </c>
      <c r="D13" s="5">
        <v>26.9</v>
      </c>
      <c r="E13" s="5">
        <v>19.8</v>
      </c>
    </row>
    <row r="14" spans="3:5" ht="15.75" thickBot="1" x14ac:dyDescent="0.3">
      <c r="C14" s="9">
        <v>5</v>
      </c>
      <c r="D14" s="5">
        <v>34.700000000000003</v>
      </c>
      <c r="E14" s="5">
        <v>31.6</v>
      </c>
    </row>
    <row r="15" spans="3:5" ht="15.75" thickBot="1" x14ac:dyDescent="0.3">
      <c r="C15" s="9">
        <v>6</v>
      </c>
      <c r="D15" s="5">
        <v>38</v>
      </c>
      <c r="E15" s="5">
        <v>36.700000000000003</v>
      </c>
    </row>
    <row r="16" spans="3:5" ht="15.75" thickBot="1" x14ac:dyDescent="0.3">
      <c r="C16" s="9">
        <v>7</v>
      </c>
      <c r="D16" s="5">
        <v>39</v>
      </c>
      <c r="E16" s="5">
        <v>38</v>
      </c>
    </row>
    <row r="17" spans="3:5" ht="15.75" thickBot="1" x14ac:dyDescent="0.3">
      <c r="C17" s="9">
        <v>8</v>
      </c>
      <c r="D17" s="5">
        <v>39.5</v>
      </c>
      <c r="E17" s="5">
        <v>40.200000000000003</v>
      </c>
    </row>
    <row r="18" spans="3:5" ht="15.75" thickBot="1" x14ac:dyDescent="0.3">
      <c r="C18" s="9">
        <v>9</v>
      </c>
      <c r="D18" s="5">
        <v>40.5</v>
      </c>
      <c r="E18" s="5">
        <v>40.700000000000003</v>
      </c>
    </row>
    <row r="19" spans="3:5" ht="15.75" thickBot="1" x14ac:dyDescent="0.3">
      <c r="C19" s="9">
        <v>10</v>
      </c>
      <c r="D19" s="5">
        <v>42.1</v>
      </c>
      <c r="E19" s="5">
        <v>41.9</v>
      </c>
    </row>
    <row r="20" spans="3:5" ht="15.75" thickBot="1" x14ac:dyDescent="0.3">
      <c r="C20" s="9">
        <v>11</v>
      </c>
      <c r="D20" s="5">
        <v>43.1</v>
      </c>
      <c r="E20" s="5">
        <v>42.9</v>
      </c>
    </row>
    <row r="21" spans="3:5" ht="15.75" thickBot="1" x14ac:dyDescent="0.3">
      <c r="C21" s="9">
        <v>12</v>
      </c>
      <c r="D21" s="5">
        <v>44.7</v>
      </c>
      <c r="E21" s="5">
        <v>44.9</v>
      </c>
    </row>
    <row r="22" spans="3:5" ht="15.75" thickBot="1" x14ac:dyDescent="0.3">
      <c r="C22" s="9">
        <v>13</v>
      </c>
      <c r="D22" s="5">
        <v>50.1</v>
      </c>
      <c r="E22" s="5">
        <v>50.2</v>
      </c>
    </row>
    <row r="23" spans="3:5" ht="15.75" thickBot="1" x14ac:dyDescent="0.3">
      <c r="C23" s="9">
        <v>14</v>
      </c>
      <c r="D23" s="5">
        <v>51.2</v>
      </c>
      <c r="E23" s="5">
        <v>52.3</v>
      </c>
    </row>
    <row r="24" spans="3:5" ht="15.75" thickBot="1" x14ac:dyDescent="0.3">
      <c r="C24" s="9">
        <v>15</v>
      </c>
      <c r="D24" s="5">
        <v>52.9</v>
      </c>
      <c r="E24" s="5">
        <v>52.8</v>
      </c>
    </row>
    <row r="25" spans="3:5" ht="15.75" thickBot="1" x14ac:dyDescent="0.3">
      <c r="C25" s="9">
        <v>16</v>
      </c>
      <c r="D25" s="5">
        <v>53.1</v>
      </c>
      <c r="E25" s="5">
        <v>53.1</v>
      </c>
    </row>
    <row r="26" spans="3:5" ht="15.75" thickBot="1" x14ac:dyDescent="0.3">
      <c r="C26" s="9">
        <v>17</v>
      </c>
      <c r="D26" s="5">
        <v>54.2</v>
      </c>
      <c r="E26" s="5">
        <v>53.9</v>
      </c>
    </row>
    <row r="27" spans="3:5" ht="15.75" thickBot="1" x14ac:dyDescent="0.3">
      <c r="C27" s="9">
        <v>18</v>
      </c>
      <c r="D27" s="5">
        <v>54.9</v>
      </c>
      <c r="E27" s="5">
        <v>55.1</v>
      </c>
    </row>
    <row r="28" spans="3:5" ht="15.75" thickBot="1" x14ac:dyDescent="0.3">
      <c r="C28" s="9">
        <v>19</v>
      </c>
      <c r="D28" s="5">
        <v>55.5</v>
      </c>
      <c r="E28" s="5">
        <v>56.1</v>
      </c>
    </row>
    <row r="29" spans="3:5" ht="15.75" thickBot="1" x14ac:dyDescent="0.3">
      <c r="C29" s="9">
        <v>20</v>
      </c>
      <c r="D29" s="5">
        <v>56.5</v>
      </c>
      <c r="E29" s="5">
        <v>56.1</v>
      </c>
    </row>
    <row r="30" spans="3:5" ht="15.75" thickBot="1" x14ac:dyDescent="0.3">
      <c r="C30" s="9">
        <v>21</v>
      </c>
      <c r="D30" s="5">
        <v>56.9</v>
      </c>
      <c r="E30" s="5">
        <v>56.3</v>
      </c>
    </row>
    <row r="31" spans="3:5" ht="15.75" thickBot="1" x14ac:dyDescent="0.3">
      <c r="C31" s="9">
        <v>22</v>
      </c>
      <c r="D31" s="5"/>
      <c r="E31" s="5"/>
    </row>
    <row r="32" spans="3:5" ht="15.75" thickBot="1" x14ac:dyDescent="0.3">
      <c r="C32" s="9">
        <v>23</v>
      </c>
      <c r="D32" s="5"/>
      <c r="E32" s="5"/>
    </row>
  </sheetData>
  <mergeCells count="2">
    <mergeCell ref="C5:C9"/>
    <mergeCell ref="D5:D7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D8973-EC3D-4589-8D65-7529E5468211}">
  <dimension ref="C5:E37"/>
  <sheetViews>
    <sheetView topLeftCell="A7" workbookViewId="0">
      <selection activeCell="E33" sqref="D32:E33"/>
    </sheetView>
  </sheetViews>
  <sheetFormatPr defaultRowHeight="15" x14ac:dyDescent="0.25"/>
  <cols>
    <col min="3" max="3" width="19.28515625" customWidth="1"/>
    <col min="4" max="5" width="22.140625" customWidth="1"/>
  </cols>
  <sheetData>
    <row r="5" spans="3:5" ht="15.75" thickBot="1" x14ac:dyDescent="0.3"/>
    <row r="6" spans="3:5" ht="60" x14ac:dyDescent="0.25">
      <c r="C6" s="20" t="s">
        <v>0</v>
      </c>
      <c r="D6" s="20" t="s">
        <v>1</v>
      </c>
      <c r="E6" s="2" t="s">
        <v>2</v>
      </c>
    </row>
    <row r="7" spans="3:5" x14ac:dyDescent="0.25">
      <c r="C7" s="21"/>
      <c r="D7" s="21"/>
      <c r="E7" s="3"/>
    </row>
    <row r="8" spans="3:5" x14ac:dyDescent="0.25">
      <c r="C8" s="21"/>
      <c r="D8" s="21"/>
      <c r="E8" s="3" t="s">
        <v>3</v>
      </c>
    </row>
    <row r="9" spans="3:5" x14ac:dyDescent="0.25">
      <c r="C9" s="21"/>
      <c r="D9" s="3" t="s">
        <v>4</v>
      </c>
      <c r="E9" s="3" t="s">
        <v>5</v>
      </c>
    </row>
    <row r="10" spans="3:5" ht="15.75" thickBot="1" x14ac:dyDescent="0.3">
      <c r="C10" s="22"/>
      <c r="D10" s="5" t="s">
        <v>5</v>
      </c>
      <c r="E10" s="7"/>
    </row>
    <row r="11" spans="3:5" ht="15.75" thickBot="1" x14ac:dyDescent="0.3">
      <c r="C11" s="9">
        <v>1</v>
      </c>
      <c r="D11" s="5">
        <v>3.4</v>
      </c>
      <c r="E11" s="5">
        <v>4.8</v>
      </c>
    </row>
    <row r="12" spans="3:5" ht="15.75" thickBot="1" x14ac:dyDescent="0.3">
      <c r="C12" s="9">
        <v>2</v>
      </c>
      <c r="D12" s="5">
        <v>5.8</v>
      </c>
      <c r="E12" s="5">
        <v>6.1</v>
      </c>
    </row>
    <row r="13" spans="3:5" ht="15.75" thickBot="1" x14ac:dyDescent="0.3">
      <c r="C13" s="9">
        <v>3</v>
      </c>
      <c r="D13" s="5">
        <v>14.6</v>
      </c>
      <c r="E13" s="5">
        <v>14.3</v>
      </c>
    </row>
    <row r="14" spans="3:5" ht="15.75" thickBot="1" x14ac:dyDescent="0.3">
      <c r="C14" s="9">
        <v>4</v>
      </c>
      <c r="D14" s="5">
        <v>26.9</v>
      </c>
      <c r="E14" s="5">
        <v>19.8</v>
      </c>
    </row>
    <row r="15" spans="3:5" ht="15.75" thickBot="1" x14ac:dyDescent="0.3">
      <c r="C15" s="9">
        <v>5</v>
      </c>
      <c r="D15" s="5">
        <v>34.700000000000003</v>
      </c>
      <c r="E15" s="5">
        <v>31.6</v>
      </c>
    </row>
    <row r="16" spans="3:5" ht="15.75" thickBot="1" x14ac:dyDescent="0.3">
      <c r="C16" s="9">
        <v>6</v>
      </c>
      <c r="D16" s="5">
        <v>38</v>
      </c>
      <c r="E16" s="5">
        <v>36.700000000000003</v>
      </c>
    </row>
    <row r="17" spans="3:5" ht="15.75" thickBot="1" x14ac:dyDescent="0.3">
      <c r="C17" s="9">
        <v>7</v>
      </c>
      <c r="D17" s="5">
        <v>39</v>
      </c>
      <c r="E17" s="5">
        <v>38</v>
      </c>
    </row>
    <row r="18" spans="3:5" ht="15.75" thickBot="1" x14ac:dyDescent="0.3">
      <c r="C18" s="9">
        <v>8</v>
      </c>
      <c r="D18" s="5">
        <v>39.5</v>
      </c>
      <c r="E18" s="5">
        <v>40.200000000000003</v>
      </c>
    </row>
    <row r="19" spans="3:5" ht="15.75" thickBot="1" x14ac:dyDescent="0.3">
      <c r="C19" s="9">
        <v>9</v>
      </c>
      <c r="D19" s="5">
        <v>40.5</v>
      </c>
      <c r="E19" s="5">
        <v>40.700000000000003</v>
      </c>
    </row>
    <row r="20" spans="3:5" ht="15.75" thickBot="1" x14ac:dyDescent="0.3">
      <c r="C20" s="9">
        <v>10</v>
      </c>
      <c r="D20" s="5">
        <v>42.1</v>
      </c>
      <c r="E20" s="5">
        <v>41.9</v>
      </c>
    </row>
    <row r="21" spans="3:5" ht="15.75" thickBot="1" x14ac:dyDescent="0.3">
      <c r="C21" s="9">
        <v>11</v>
      </c>
      <c r="D21" s="5">
        <v>43.1</v>
      </c>
      <c r="E21" s="5">
        <v>42.9</v>
      </c>
    </row>
    <row r="22" spans="3:5" ht="15.75" thickBot="1" x14ac:dyDescent="0.3">
      <c r="C22" s="9">
        <v>12</v>
      </c>
      <c r="D22" s="5">
        <v>44.7</v>
      </c>
      <c r="E22" s="5">
        <v>44.9</v>
      </c>
    </row>
    <row r="23" spans="3:5" ht="15.75" thickBot="1" x14ac:dyDescent="0.3">
      <c r="C23" s="9">
        <v>13</v>
      </c>
      <c r="D23" s="5">
        <v>50.1</v>
      </c>
      <c r="E23" s="5">
        <v>50.2</v>
      </c>
    </row>
    <row r="24" spans="3:5" ht="15.75" thickBot="1" x14ac:dyDescent="0.3">
      <c r="C24" s="9">
        <v>14</v>
      </c>
      <c r="D24" s="5">
        <v>51.2</v>
      </c>
      <c r="E24" s="5">
        <v>52.3</v>
      </c>
    </row>
    <row r="25" spans="3:5" ht="15.75" thickBot="1" x14ac:dyDescent="0.3">
      <c r="C25" s="9">
        <v>15</v>
      </c>
      <c r="D25" s="5">
        <v>52.9</v>
      </c>
      <c r="E25" s="5">
        <v>52.8</v>
      </c>
    </row>
    <row r="26" spans="3:5" ht="15.75" thickBot="1" x14ac:dyDescent="0.3">
      <c r="C26" s="9">
        <v>16</v>
      </c>
      <c r="D26" s="5">
        <v>53.1</v>
      </c>
      <c r="E26" s="5">
        <v>53.1</v>
      </c>
    </row>
    <row r="27" spans="3:5" ht="15.75" thickBot="1" x14ac:dyDescent="0.3">
      <c r="C27" s="9">
        <v>17</v>
      </c>
      <c r="D27" s="5">
        <v>54.2</v>
      </c>
      <c r="E27" s="5">
        <v>53.9</v>
      </c>
    </row>
    <row r="28" spans="3:5" ht="15.75" thickBot="1" x14ac:dyDescent="0.3">
      <c r="C28" s="9">
        <v>18</v>
      </c>
      <c r="D28" s="5">
        <v>54.9</v>
      </c>
      <c r="E28" s="5">
        <v>55.1</v>
      </c>
    </row>
    <row r="29" spans="3:5" ht="15.75" thickBot="1" x14ac:dyDescent="0.3">
      <c r="C29" s="9">
        <v>19</v>
      </c>
      <c r="D29" s="5">
        <v>55.5</v>
      </c>
      <c r="E29" s="5">
        <v>56.1</v>
      </c>
    </row>
    <row r="30" spans="3:5" ht="15.75" thickBot="1" x14ac:dyDescent="0.3">
      <c r="C30" s="9">
        <v>20</v>
      </c>
      <c r="D30" s="5">
        <v>56.5</v>
      </c>
      <c r="E30" s="5">
        <v>56.1</v>
      </c>
    </row>
    <row r="31" spans="3:5" ht="15.75" thickBot="1" x14ac:dyDescent="0.3">
      <c r="C31" s="9">
        <v>21</v>
      </c>
      <c r="D31" s="5">
        <v>56.9</v>
      </c>
      <c r="E31" s="5">
        <v>56.3</v>
      </c>
    </row>
    <row r="32" spans="3:5" ht="15.75" thickBot="1" x14ac:dyDescent="0.3">
      <c r="C32" s="9">
        <v>22</v>
      </c>
      <c r="D32" s="19">
        <v>66.831000000000003</v>
      </c>
      <c r="E32" s="19">
        <v>67.2256</v>
      </c>
    </row>
    <row r="33" spans="3:5" ht="15.75" thickBot="1" x14ac:dyDescent="0.3">
      <c r="C33" s="9">
        <v>23</v>
      </c>
      <c r="D33" s="19">
        <v>69.194000000000003</v>
      </c>
      <c r="E33" s="19">
        <v>69.666899999999998</v>
      </c>
    </row>
    <row r="36" spans="3:5" x14ac:dyDescent="0.25">
      <c r="D36">
        <f>(2.363*22)+14.845</f>
        <v>66.831000000000003</v>
      </c>
      <c r="E36">
        <f>(2.4413*22)+13.517</f>
        <v>67.2256</v>
      </c>
    </row>
    <row r="37" spans="3:5" x14ac:dyDescent="0.25">
      <c r="D37">
        <f>(2.363*23)+14.845</f>
        <v>69.194000000000003</v>
      </c>
      <c r="E37">
        <f>(2.4413*23)+13.517</f>
        <v>69.666899999999998</v>
      </c>
    </row>
  </sheetData>
  <mergeCells count="2">
    <mergeCell ref="C6:C10"/>
    <mergeCell ref="D6:D8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95B30-E4D3-45CA-8BE0-3F3E36B62540}">
  <dimension ref="D6:F17"/>
  <sheetViews>
    <sheetView tabSelected="1" workbookViewId="0">
      <selection activeCell="L13" sqref="L13"/>
    </sheetView>
  </sheetViews>
  <sheetFormatPr defaultRowHeight="15" x14ac:dyDescent="0.25"/>
  <cols>
    <col min="4" max="4" width="14.28515625" customWidth="1"/>
    <col min="5" max="5" width="15.42578125" customWidth="1"/>
    <col min="6" max="6" width="18.140625" customWidth="1"/>
  </cols>
  <sheetData>
    <row r="6" spans="4:6" ht="15.75" thickBot="1" x14ac:dyDescent="0.3"/>
    <row r="7" spans="4:6" x14ac:dyDescent="0.25">
      <c r="D7" s="23"/>
      <c r="E7" s="24"/>
      <c r="F7" s="25"/>
    </row>
    <row r="8" spans="4:6" ht="56.25" customHeight="1" x14ac:dyDescent="0.25">
      <c r="D8" s="26" t="s">
        <v>6</v>
      </c>
      <c r="E8" s="27"/>
      <c r="F8" s="28"/>
    </row>
    <row r="9" spans="4:6" ht="37.5" customHeight="1" x14ac:dyDescent="0.25">
      <c r="D9" s="26" t="s">
        <v>7</v>
      </c>
      <c r="E9" s="27"/>
      <c r="F9" s="28"/>
    </row>
    <row r="10" spans="4:6" x14ac:dyDescent="0.25">
      <c r="D10" s="29"/>
      <c r="E10" s="30"/>
      <c r="F10" s="31"/>
    </row>
    <row r="11" spans="4:6" ht="15.75" thickBot="1" x14ac:dyDescent="0.3">
      <c r="D11" s="32"/>
      <c r="E11" s="33"/>
      <c r="F11" s="34"/>
    </row>
    <row r="12" spans="4:6" ht="60.75" thickBot="1" x14ac:dyDescent="0.3">
      <c r="D12" s="10" t="s">
        <v>8</v>
      </c>
      <c r="E12" s="4" t="s">
        <v>9</v>
      </c>
      <c r="F12" s="4" t="s">
        <v>10</v>
      </c>
    </row>
    <row r="13" spans="4:6" ht="15.75" thickBot="1" x14ac:dyDescent="0.3">
      <c r="D13" s="8">
        <v>1</v>
      </c>
      <c r="E13" s="4">
        <v>16.2</v>
      </c>
      <c r="F13" s="4">
        <v>1.75</v>
      </c>
    </row>
    <row r="14" spans="4:6" ht="15.75" thickBot="1" x14ac:dyDescent="0.3">
      <c r="D14" s="8">
        <v>2</v>
      </c>
      <c r="E14" s="4">
        <v>17.7</v>
      </c>
      <c r="F14" s="4">
        <v>1.55</v>
      </c>
    </row>
    <row r="15" spans="4:6" ht="15.75" thickBot="1" x14ac:dyDescent="0.3">
      <c r="D15" s="8">
        <v>3</v>
      </c>
      <c r="E15" s="4">
        <v>18</v>
      </c>
      <c r="F15" s="4">
        <v>1.75</v>
      </c>
    </row>
    <row r="16" spans="4:6" ht="15.75" thickBot="1" x14ac:dyDescent="0.3">
      <c r="D16" s="8">
        <v>4</v>
      </c>
      <c r="E16" s="4">
        <v>19</v>
      </c>
      <c r="F16" s="4">
        <v>2</v>
      </c>
    </row>
    <row r="17" spans="4:6" ht="15.75" thickBot="1" x14ac:dyDescent="0.3">
      <c r="D17" s="8">
        <v>5</v>
      </c>
      <c r="E17" s="4">
        <v>25</v>
      </c>
      <c r="F17" s="4">
        <v>2.5</v>
      </c>
    </row>
  </sheetData>
  <mergeCells count="5">
    <mergeCell ref="D7:F7"/>
    <mergeCell ref="D8:F8"/>
    <mergeCell ref="D9:F9"/>
    <mergeCell ref="D10:F10"/>
    <mergeCell ref="D11:F1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26F72-B8FB-4C95-838C-EC0FC392AE1F}">
  <dimension ref="D4:F15"/>
  <sheetViews>
    <sheetView workbookViewId="0">
      <selection activeCell="F11" sqref="F11:F15"/>
    </sheetView>
  </sheetViews>
  <sheetFormatPr defaultRowHeight="15" x14ac:dyDescent="0.25"/>
  <cols>
    <col min="4" max="5" width="13.28515625" customWidth="1"/>
    <col min="6" max="6" width="15.42578125" customWidth="1"/>
  </cols>
  <sheetData>
    <row r="4" spans="4:6" ht="15.75" thickBot="1" x14ac:dyDescent="0.3"/>
    <row r="5" spans="4:6" x14ac:dyDescent="0.25">
      <c r="D5" s="23"/>
      <c r="E5" s="24"/>
      <c r="F5" s="25"/>
    </row>
    <row r="6" spans="4:6" ht="56.25" customHeight="1" x14ac:dyDescent="0.25">
      <c r="D6" s="26" t="s">
        <v>6</v>
      </c>
      <c r="E6" s="27"/>
      <c r="F6" s="28"/>
    </row>
    <row r="7" spans="4:6" ht="37.5" customHeight="1" x14ac:dyDescent="0.25">
      <c r="D7" s="26" t="s">
        <v>7</v>
      </c>
      <c r="E7" s="27"/>
      <c r="F7" s="28"/>
    </row>
    <row r="8" spans="4:6" x14ac:dyDescent="0.25">
      <c r="D8" s="29"/>
      <c r="E8" s="30"/>
      <c r="F8" s="31"/>
    </row>
    <row r="9" spans="4:6" ht="15.75" thickBot="1" x14ac:dyDescent="0.3">
      <c r="D9" s="32"/>
      <c r="E9" s="33"/>
      <c r="F9" s="34"/>
    </row>
    <row r="10" spans="4:6" ht="90.75" thickBot="1" x14ac:dyDescent="0.3">
      <c r="D10" s="10" t="s">
        <v>8</v>
      </c>
      <c r="E10" s="4" t="s">
        <v>9</v>
      </c>
      <c r="F10" s="4" t="s">
        <v>10</v>
      </c>
    </row>
    <row r="11" spans="4:6" ht="15.75" thickBot="1" x14ac:dyDescent="0.3">
      <c r="D11" s="8">
        <v>1</v>
      </c>
      <c r="E11" s="4">
        <v>16.2</v>
      </c>
      <c r="F11" s="4">
        <v>1.75</v>
      </c>
    </row>
    <row r="12" spans="4:6" ht="15.75" thickBot="1" x14ac:dyDescent="0.3">
      <c r="D12" s="8">
        <v>2</v>
      </c>
      <c r="E12" s="4">
        <v>17.7</v>
      </c>
      <c r="F12" s="4">
        <v>1.55</v>
      </c>
    </row>
    <row r="13" spans="4:6" ht="15.75" thickBot="1" x14ac:dyDescent="0.3">
      <c r="D13" s="8">
        <v>3</v>
      </c>
      <c r="E13" s="4">
        <v>18</v>
      </c>
      <c r="F13" s="4">
        <v>1.75</v>
      </c>
    </row>
    <row r="14" spans="4:6" ht="15.75" thickBot="1" x14ac:dyDescent="0.3">
      <c r="D14" s="8">
        <v>4</v>
      </c>
      <c r="E14" s="4">
        <v>19</v>
      </c>
      <c r="F14" s="4">
        <v>2</v>
      </c>
    </row>
    <row r="15" spans="4:6" ht="15.75" thickBot="1" x14ac:dyDescent="0.3">
      <c r="D15" s="8">
        <v>5</v>
      </c>
      <c r="E15" s="4">
        <v>25</v>
      </c>
      <c r="F15" s="4">
        <v>2.5</v>
      </c>
    </row>
  </sheetData>
  <mergeCells count="5">
    <mergeCell ref="D5:F5"/>
    <mergeCell ref="D6:F6"/>
    <mergeCell ref="D7:F7"/>
    <mergeCell ref="D8:F8"/>
    <mergeCell ref="D9:F9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FE66B-FF9D-4BA2-8F9F-AB6FCDA54453}">
  <dimension ref="C6:F22"/>
  <sheetViews>
    <sheetView workbookViewId="0">
      <selection activeCell="K17" sqref="K17"/>
    </sheetView>
  </sheetViews>
  <sheetFormatPr defaultRowHeight="15" x14ac:dyDescent="0.25"/>
  <cols>
    <col min="3" max="3" width="17.85546875" customWidth="1"/>
    <col min="4" max="4" width="18" customWidth="1"/>
    <col min="5" max="6" width="18.85546875" customWidth="1"/>
  </cols>
  <sheetData>
    <row r="6" spans="3:6" ht="47.25" x14ac:dyDescent="0.25">
      <c r="C6" s="3" t="s">
        <v>19</v>
      </c>
      <c r="D6" s="11" t="s">
        <v>11</v>
      </c>
      <c r="E6" s="3" t="s">
        <v>20</v>
      </c>
      <c r="F6" s="1" t="s">
        <v>12</v>
      </c>
    </row>
    <row r="7" spans="3:6" ht="31.5" x14ac:dyDescent="0.25">
      <c r="C7" s="11" t="s">
        <v>13</v>
      </c>
      <c r="D7" s="11" t="s">
        <v>14</v>
      </c>
      <c r="E7" s="11" t="s">
        <v>13</v>
      </c>
      <c r="F7" s="1" t="s">
        <v>15</v>
      </c>
    </row>
    <row r="8" spans="3:6" ht="15.75" x14ac:dyDescent="0.25">
      <c r="C8" s="12" t="s">
        <v>16</v>
      </c>
      <c r="D8" s="11" t="s">
        <v>17</v>
      </c>
      <c r="E8" s="12" t="s">
        <v>16</v>
      </c>
      <c r="F8" s="1"/>
    </row>
    <row r="9" spans="3:6" x14ac:dyDescent="0.25">
      <c r="C9" s="12"/>
      <c r="D9" s="12"/>
      <c r="E9" s="3"/>
      <c r="F9" s="1"/>
    </row>
    <row r="10" spans="3:6" ht="15.75" thickBot="1" x14ac:dyDescent="0.3">
      <c r="C10" s="7"/>
      <c r="D10" s="7"/>
      <c r="E10" s="7"/>
      <c r="F10" s="14" t="s">
        <v>18</v>
      </c>
    </row>
    <row r="11" spans="3:6" ht="15.75" thickBot="1" x14ac:dyDescent="0.3">
      <c r="C11" s="13">
        <v>1100000</v>
      </c>
      <c r="D11" s="13">
        <v>2325974</v>
      </c>
      <c r="E11" s="13">
        <v>1974026</v>
      </c>
      <c r="F11" s="15">
        <v>4635943</v>
      </c>
    </row>
    <row r="12" spans="3:6" ht="15.75" thickBot="1" x14ac:dyDescent="0.3">
      <c r="C12" s="13">
        <v>1300000</v>
      </c>
      <c r="D12" s="13">
        <v>2890500</v>
      </c>
      <c r="E12" s="13">
        <v>2009500</v>
      </c>
      <c r="F12" s="15">
        <v>4923750</v>
      </c>
    </row>
    <row r="13" spans="3:6" ht="15.75" thickBot="1" x14ac:dyDescent="0.3">
      <c r="C13" s="13">
        <v>1650000</v>
      </c>
      <c r="D13" s="13">
        <v>3430300</v>
      </c>
      <c r="E13" s="13">
        <v>2238700</v>
      </c>
      <c r="F13" s="15">
        <v>5505120</v>
      </c>
    </row>
    <row r="14" spans="3:6" ht="15.75" thickBot="1" x14ac:dyDescent="0.3">
      <c r="C14" s="13">
        <v>1600000</v>
      </c>
      <c r="D14" s="13">
        <v>3355780</v>
      </c>
      <c r="E14" s="13">
        <v>2144220</v>
      </c>
      <c r="F14" s="15">
        <v>5265123</v>
      </c>
    </row>
    <row r="15" spans="3:6" ht="15.75" thickBot="1" x14ac:dyDescent="0.3">
      <c r="C15" s="13">
        <v>1150000</v>
      </c>
      <c r="D15" s="13">
        <v>2398158</v>
      </c>
      <c r="E15" s="13">
        <v>1951842</v>
      </c>
      <c r="F15" s="15">
        <v>4877342</v>
      </c>
    </row>
    <row r="16" spans="3:6" ht="15.75" thickBot="1" x14ac:dyDescent="0.3">
      <c r="C16" s="13">
        <v>1050000</v>
      </c>
      <c r="D16" s="13">
        <v>2300000</v>
      </c>
      <c r="E16" s="13">
        <v>1938000</v>
      </c>
      <c r="F16" s="15">
        <v>4539548</v>
      </c>
    </row>
    <row r="17" spans="3:6" ht="15.75" thickBot="1" x14ac:dyDescent="0.3">
      <c r="C17" s="13">
        <v>1990000</v>
      </c>
      <c r="D17" s="13">
        <v>3899750</v>
      </c>
      <c r="E17" s="13">
        <v>1995214</v>
      </c>
      <c r="F17" s="15">
        <v>4889035</v>
      </c>
    </row>
    <row r="18" spans="3:6" ht="15.75" thickBot="1" x14ac:dyDescent="0.3">
      <c r="C18" s="13">
        <v>1945000</v>
      </c>
      <c r="D18" s="13">
        <v>3991250</v>
      </c>
      <c r="E18" s="13">
        <v>1944011</v>
      </c>
      <c r="F18" s="15">
        <v>4780573</v>
      </c>
    </row>
    <row r="19" spans="3:6" ht="15.75" thickBot="1" x14ac:dyDescent="0.3">
      <c r="C19" s="13">
        <v>1395000</v>
      </c>
      <c r="D19" s="13">
        <v>2769980</v>
      </c>
      <c r="E19" s="13">
        <v>1738300</v>
      </c>
      <c r="F19" s="15">
        <v>4345876</v>
      </c>
    </row>
    <row r="20" spans="3:6" ht="15.75" thickBot="1" x14ac:dyDescent="0.3">
      <c r="C20" s="13">
        <v>1350000</v>
      </c>
      <c r="D20" s="13">
        <v>2790005</v>
      </c>
      <c r="E20" s="13">
        <v>1699735</v>
      </c>
      <c r="F20" s="15">
        <v>4245743</v>
      </c>
    </row>
    <row r="21" spans="3:6" ht="15.75" thickBot="1" x14ac:dyDescent="0.3">
      <c r="C21" s="13">
        <v>1800010</v>
      </c>
      <c r="D21" s="13">
        <v>3844990</v>
      </c>
      <c r="E21" s="13">
        <v>1999930</v>
      </c>
      <c r="F21" s="15">
        <v>4696788</v>
      </c>
    </row>
    <row r="22" spans="3:6" x14ac:dyDescent="0.25">
      <c r="C22" s="16">
        <v>1000070</v>
      </c>
      <c r="D22" s="16">
        <v>1990657</v>
      </c>
      <c r="E22" s="16">
        <v>2004413</v>
      </c>
      <c r="F22" s="17">
        <v>4978642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562B1-7D1D-47F0-B133-A63F567CE888}">
  <dimension ref="D7:G23"/>
  <sheetViews>
    <sheetView workbookViewId="0">
      <selection activeCell="G23" sqref="D7:G23"/>
    </sheetView>
  </sheetViews>
  <sheetFormatPr defaultRowHeight="15" x14ac:dyDescent="0.25"/>
  <cols>
    <col min="4" max="4" width="25" customWidth="1"/>
    <col min="5" max="5" width="21.28515625" customWidth="1"/>
    <col min="6" max="6" width="26" customWidth="1"/>
    <col min="7" max="7" width="20" customWidth="1"/>
  </cols>
  <sheetData>
    <row r="7" spans="4:7" ht="15.75" x14ac:dyDescent="0.25">
      <c r="D7" s="3" t="s">
        <v>19</v>
      </c>
      <c r="E7" s="11" t="s">
        <v>11</v>
      </c>
      <c r="F7" s="3" t="s">
        <v>20</v>
      </c>
      <c r="G7" s="1" t="s">
        <v>12</v>
      </c>
    </row>
    <row r="8" spans="4:7" ht="15.75" x14ac:dyDescent="0.25">
      <c r="D8" s="11" t="s">
        <v>13</v>
      </c>
      <c r="E8" s="11" t="s">
        <v>14</v>
      </c>
      <c r="F8" s="11" t="s">
        <v>13</v>
      </c>
      <c r="G8" s="1" t="s">
        <v>15</v>
      </c>
    </row>
    <row r="9" spans="4:7" ht="15.75" x14ac:dyDescent="0.25">
      <c r="D9" s="12" t="s">
        <v>16</v>
      </c>
      <c r="E9" s="11" t="s">
        <v>17</v>
      </c>
      <c r="F9" s="12" t="s">
        <v>16</v>
      </c>
      <c r="G9" s="1"/>
    </row>
    <row r="10" spans="4:7" x14ac:dyDescent="0.25">
      <c r="D10" s="12"/>
      <c r="E10" s="12"/>
      <c r="F10" s="3"/>
      <c r="G10" s="1"/>
    </row>
    <row r="11" spans="4:7" ht="15.75" thickBot="1" x14ac:dyDescent="0.3">
      <c r="D11" s="7"/>
      <c r="E11" s="7"/>
      <c r="F11" s="7"/>
      <c r="G11" s="14" t="s">
        <v>18</v>
      </c>
    </row>
    <row r="12" spans="4:7" ht="15.75" thickBot="1" x14ac:dyDescent="0.3">
      <c r="D12" s="13">
        <v>1100000</v>
      </c>
      <c r="E12" s="13">
        <v>2325974</v>
      </c>
      <c r="F12" s="13">
        <v>1974026</v>
      </c>
      <c r="G12" s="15">
        <v>4635943</v>
      </c>
    </row>
    <row r="13" spans="4:7" ht="15.75" thickBot="1" x14ac:dyDescent="0.3">
      <c r="D13" s="13">
        <v>1300000</v>
      </c>
      <c r="E13" s="13">
        <v>2890500</v>
      </c>
      <c r="F13" s="13">
        <v>2009500</v>
      </c>
      <c r="G13" s="15">
        <v>4923750</v>
      </c>
    </row>
    <row r="14" spans="4:7" ht="15.75" thickBot="1" x14ac:dyDescent="0.3">
      <c r="D14" s="13">
        <v>1650000</v>
      </c>
      <c r="E14" s="13">
        <v>3430300</v>
      </c>
      <c r="F14" s="13">
        <v>2238700</v>
      </c>
      <c r="G14" s="15">
        <v>5505120</v>
      </c>
    </row>
    <row r="15" spans="4:7" ht="15.75" thickBot="1" x14ac:dyDescent="0.3">
      <c r="D15" s="13">
        <v>1600000</v>
      </c>
      <c r="E15" s="13">
        <v>3355780</v>
      </c>
      <c r="F15" s="13">
        <v>2144220</v>
      </c>
      <c r="G15" s="15">
        <v>5265123</v>
      </c>
    </row>
    <row r="16" spans="4:7" ht="15.75" thickBot="1" x14ac:dyDescent="0.3">
      <c r="D16" s="13">
        <v>1150000</v>
      </c>
      <c r="E16" s="13">
        <v>2398158</v>
      </c>
      <c r="F16" s="13">
        <v>1951842</v>
      </c>
      <c r="G16" s="15">
        <v>4877342</v>
      </c>
    </row>
    <row r="17" spans="4:7" ht="15.75" thickBot="1" x14ac:dyDescent="0.3">
      <c r="D17" s="13">
        <v>1050000</v>
      </c>
      <c r="E17" s="13">
        <v>2300000</v>
      </c>
      <c r="F17" s="13">
        <v>1938000</v>
      </c>
      <c r="G17" s="15">
        <v>4539548</v>
      </c>
    </row>
    <row r="18" spans="4:7" ht="15.75" thickBot="1" x14ac:dyDescent="0.3">
      <c r="D18" s="13">
        <v>1990000</v>
      </c>
      <c r="E18" s="13">
        <v>3899750</v>
      </c>
      <c r="F18" s="13">
        <v>1995214</v>
      </c>
      <c r="G18" s="15">
        <v>4889035</v>
      </c>
    </row>
    <row r="19" spans="4:7" ht="15.75" thickBot="1" x14ac:dyDescent="0.3">
      <c r="D19" s="13">
        <v>1945000</v>
      </c>
      <c r="E19" s="13">
        <v>3991250</v>
      </c>
      <c r="F19" s="13">
        <v>1944011</v>
      </c>
      <c r="G19" s="15">
        <v>4780573</v>
      </c>
    </row>
    <row r="20" spans="4:7" ht="15.75" thickBot="1" x14ac:dyDescent="0.3">
      <c r="D20" s="13">
        <v>1395000</v>
      </c>
      <c r="E20" s="13">
        <v>2769980</v>
      </c>
      <c r="F20" s="13">
        <v>1738300</v>
      </c>
      <c r="G20" s="15">
        <v>4345876</v>
      </c>
    </row>
    <row r="21" spans="4:7" ht="15.75" thickBot="1" x14ac:dyDescent="0.3">
      <c r="D21" s="13">
        <v>1350000</v>
      </c>
      <c r="E21" s="13">
        <v>2790005</v>
      </c>
      <c r="F21" s="13">
        <v>1699735</v>
      </c>
      <c r="G21" s="15">
        <v>4245743</v>
      </c>
    </row>
    <row r="22" spans="4:7" ht="15.75" thickBot="1" x14ac:dyDescent="0.3">
      <c r="D22" s="13">
        <v>1800010</v>
      </c>
      <c r="E22" s="13">
        <v>3844990</v>
      </c>
      <c r="F22" s="13">
        <v>1999930</v>
      </c>
      <c r="G22" s="15">
        <v>4696788</v>
      </c>
    </row>
    <row r="23" spans="4:7" x14ac:dyDescent="0.25">
      <c r="D23" s="16">
        <v>1000070</v>
      </c>
      <c r="E23" s="16">
        <v>1990657</v>
      </c>
      <c r="F23" s="16">
        <v>2004413</v>
      </c>
      <c r="G23" s="17">
        <v>4978642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00007-B952-4DAB-B22B-FF258AD4F38B}">
  <dimension ref="D5:H12"/>
  <sheetViews>
    <sheetView workbookViewId="0">
      <selection activeCell="L17" sqref="L17"/>
    </sheetView>
  </sheetViews>
  <sheetFormatPr defaultRowHeight="15" x14ac:dyDescent="0.25"/>
  <cols>
    <col min="4" max="4" width="14.140625" customWidth="1"/>
    <col min="5" max="5" width="13" customWidth="1"/>
    <col min="6" max="6" width="14.28515625" customWidth="1"/>
    <col min="7" max="7" width="11.7109375" customWidth="1"/>
    <col min="8" max="8" width="14" customWidth="1"/>
  </cols>
  <sheetData>
    <row r="5" spans="4:8" ht="15.75" thickBot="1" x14ac:dyDescent="0.3"/>
    <row r="6" spans="4:8" ht="15.75" thickBot="1" x14ac:dyDescent="0.3">
      <c r="D6" s="18"/>
      <c r="E6" s="35" t="s">
        <v>21</v>
      </c>
      <c r="F6" s="36"/>
      <c r="G6" s="35" t="s">
        <v>22</v>
      </c>
      <c r="H6" s="36"/>
    </row>
    <row r="7" spans="4:8" ht="30.75" thickBot="1" x14ac:dyDescent="0.3">
      <c r="D7" s="10" t="s">
        <v>23</v>
      </c>
      <c r="E7" s="6" t="s">
        <v>24</v>
      </c>
      <c r="F7" s="6" t="s">
        <v>25</v>
      </c>
      <c r="G7" s="6" t="s">
        <v>26</v>
      </c>
      <c r="H7" s="6" t="s">
        <v>27</v>
      </c>
    </row>
    <row r="8" spans="4:8" ht="15.75" thickBot="1" x14ac:dyDescent="0.3">
      <c r="D8" s="8">
        <v>1</v>
      </c>
      <c r="E8" s="4">
        <v>2.2000000000000002</v>
      </c>
      <c r="F8" s="4">
        <v>2</v>
      </c>
      <c r="G8" s="4">
        <v>3.5</v>
      </c>
      <c r="H8" s="4">
        <v>3</v>
      </c>
    </row>
    <row r="9" spans="4:8" ht="15.75" thickBot="1" x14ac:dyDescent="0.3">
      <c r="D9" s="8">
        <v>2</v>
      </c>
      <c r="E9" s="4">
        <v>3.2</v>
      </c>
      <c r="F9" s="4">
        <v>3</v>
      </c>
      <c r="G9" s="4">
        <v>2.8</v>
      </c>
      <c r="H9" s="4">
        <v>2.5</v>
      </c>
    </row>
    <row r="10" spans="4:8" ht="15.75" thickBot="1" x14ac:dyDescent="0.3">
      <c r="D10" s="8">
        <v>3</v>
      </c>
      <c r="E10" s="4">
        <v>3.9</v>
      </c>
      <c r="F10" s="4">
        <v>3.2</v>
      </c>
      <c r="G10" s="4">
        <v>3</v>
      </c>
      <c r="H10" s="4">
        <v>3</v>
      </c>
    </row>
    <row r="11" spans="4:8" ht="15.75" thickBot="1" x14ac:dyDescent="0.3">
      <c r="D11" s="8">
        <v>4</v>
      </c>
      <c r="E11" s="4">
        <v>4.2</v>
      </c>
      <c r="F11" s="4">
        <v>3.5</v>
      </c>
      <c r="G11" s="4">
        <v>3.5</v>
      </c>
      <c r="H11" s="4">
        <v>3.2</v>
      </c>
    </row>
    <row r="12" spans="4:8" ht="15.75" thickBot="1" x14ac:dyDescent="0.3">
      <c r="D12" s="8">
        <v>5</v>
      </c>
      <c r="E12" s="4">
        <v>4</v>
      </c>
      <c r="F12" s="4">
        <v>3.3</v>
      </c>
      <c r="G12" s="4">
        <v>3.2</v>
      </c>
      <c r="H12" s="4">
        <v>3.1</v>
      </c>
    </row>
  </sheetData>
  <mergeCells count="2">
    <mergeCell ref="E6:F6"/>
    <mergeCell ref="G6:H6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5032C-15CC-4940-9B77-83796E6B5EFC}">
  <dimension ref="C5:G12"/>
  <sheetViews>
    <sheetView workbookViewId="0">
      <selection activeCell="X26" sqref="X26"/>
    </sheetView>
  </sheetViews>
  <sheetFormatPr defaultRowHeight="15" x14ac:dyDescent="0.25"/>
  <cols>
    <col min="3" max="3" width="16.5703125" customWidth="1"/>
    <col min="4" max="4" width="13.7109375" customWidth="1"/>
    <col min="5" max="5" width="13.85546875" customWidth="1"/>
    <col min="6" max="6" width="20.140625" customWidth="1"/>
    <col min="7" max="7" width="19.7109375" customWidth="1"/>
  </cols>
  <sheetData>
    <row r="5" spans="3:7" ht="15.75" thickBot="1" x14ac:dyDescent="0.3"/>
    <row r="6" spans="3:7" ht="15.75" thickBot="1" x14ac:dyDescent="0.3">
      <c r="C6" s="18"/>
      <c r="D6" s="35" t="s">
        <v>21</v>
      </c>
      <c r="E6" s="36"/>
      <c r="F6" s="35" t="s">
        <v>22</v>
      </c>
      <c r="G6" s="36"/>
    </row>
    <row r="7" spans="3:7" ht="15.75" thickBot="1" x14ac:dyDescent="0.3">
      <c r="C7" s="10" t="s">
        <v>23</v>
      </c>
      <c r="D7" s="4" t="s">
        <v>24</v>
      </c>
      <c r="E7" s="4" t="s">
        <v>25</v>
      </c>
      <c r="F7" s="4" t="s">
        <v>24</v>
      </c>
      <c r="G7" s="4" t="s">
        <v>25</v>
      </c>
    </row>
    <row r="8" spans="3:7" ht="15.75" thickBot="1" x14ac:dyDescent="0.3">
      <c r="C8" s="8">
        <v>1</v>
      </c>
      <c r="D8" s="4">
        <v>2.2000000000000002</v>
      </c>
      <c r="E8" s="4">
        <v>2</v>
      </c>
      <c r="F8" s="4">
        <v>3.5</v>
      </c>
      <c r="G8" s="4">
        <v>3</v>
      </c>
    </row>
    <row r="9" spans="3:7" ht="15.75" thickBot="1" x14ac:dyDescent="0.3">
      <c r="C9" s="8">
        <v>2</v>
      </c>
      <c r="D9" s="4">
        <v>3.2</v>
      </c>
      <c r="E9" s="4">
        <v>3</v>
      </c>
      <c r="F9" s="4">
        <v>2.8</v>
      </c>
      <c r="G9" s="4">
        <v>2.5</v>
      </c>
    </row>
    <row r="10" spans="3:7" ht="15.75" thickBot="1" x14ac:dyDescent="0.3">
      <c r="C10" s="8">
        <v>3</v>
      </c>
      <c r="D10" s="4">
        <v>3.9</v>
      </c>
      <c r="E10" s="4">
        <v>3.2</v>
      </c>
      <c r="F10" s="4">
        <v>3</v>
      </c>
      <c r="G10" s="4">
        <v>3</v>
      </c>
    </row>
    <row r="11" spans="3:7" ht="15.75" thickBot="1" x14ac:dyDescent="0.3">
      <c r="C11" s="8">
        <v>4</v>
      </c>
      <c r="D11" s="4">
        <v>4.2</v>
      </c>
      <c r="E11" s="4">
        <v>3.5</v>
      </c>
      <c r="F11" s="4">
        <v>3.5</v>
      </c>
      <c r="G11" s="4">
        <v>3.2</v>
      </c>
    </row>
    <row r="12" spans="3:7" ht="15.75" thickBot="1" x14ac:dyDescent="0.3">
      <c r="C12" s="8">
        <v>5</v>
      </c>
      <c r="D12" s="4">
        <v>4</v>
      </c>
      <c r="E12" s="4">
        <v>3.3</v>
      </c>
      <c r="F12" s="4">
        <v>3.2</v>
      </c>
      <c r="G12" s="4">
        <v>3.1</v>
      </c>
    </row>
  </sheetData>
  <mergeCells count="2">
    <mergeCell ref="D6:E6"/>
    <mergeCell ref="F6:G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Questão 1 </vt:lpstr>
      <vt:lpstr>Questão 1 Gabarito</vt:lpstr>
      <vt:lpstr>Questão 4</vt:lpstr>
      <vt:lpstr>Questão 4 Gabarito</vt:lpstr>
      <vt:lpstr>Questão 5</vt:lpstr>
      <vt:lpstr>Questão 5 Gabarito</vt:lpstr>
      <vt:lpstr>Exercício 6</vt:lpstr>
      <vt:lpstr>Exercício 6 Gabarito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Demerval Luiz Polizelli</dc:creator>
  <cp:lastModifiedBy>Demerval Luiz Polizelli</cp:lastModifiedBy>
  <dcterms:created xsi:type="dcterms:W3CDTF">2019-03-24T05:33:49Z</dcterms:created>
  <dcterms:modified xsi:type="dcterms:W3CDTF">2019-03-25T16:09:37Z</dcterms:modified>
</cp:coreProperties>
</file>