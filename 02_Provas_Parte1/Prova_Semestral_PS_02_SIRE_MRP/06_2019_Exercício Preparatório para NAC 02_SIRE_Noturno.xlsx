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po\Desktop\"/>
    </mc:Choice>
  </mc:AlternateContent>
  <xr:revisionPtr revIDLastSave="0" documentId="8_{4F87BF3A-EE62-4A31-B8B9-0F71F56A93B4}" xr6:coauthVersionLast="43" xr6:coauthVersionMax="43" xr10:uidLastSave="{00000000-0000-0000-0000-000000000000}"/>
  <bookViews>
    <workbookView xWindow="-120" yWindow="-120" windowWidth="29040" windowHeight="15840" activeTab="1" xr2:uid="{8E8DF45A-0F9E-4727-9170-FAD65999483C}"/>
  </bookViews>
  <sheets>
    <sheet name="Regressão Logarítimica" sheetId="1" r:id="rId1"/>
    <sheet name="Regressão Log GABARITO" sheetId="2" r:id="rId2"/>
    <sheet name="Regressão Polinomial" sheetId="3" r:id="rId3"/>
    <sheet name="regressão exponencial" sheetId="5" r:id="rId4"/>
    <sheet name="Análise de rotas" sheetId="6" r:id="rId5"/>
    <sheet name="Rota 1- Regressões" sheetId="7" r:id="rId6"/>
    <sheet name="Rota 2 - Regressão Produ Quilom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66" i="8" l="1"/>
  <c r="H65" i="8"/>
  <c r="H64" i="8"/>
  <c r="G66" i="8"/>
  <c r="G65" i="8"/>
  <c r="G64" i="8"/>
  <c r="F66" i="8"/>
  <c r="F65" i="8"/>
  <c r="F64" i="8"/>
  <c r="E66" i="8"/>
  <c r="E65" i="8"/>
  <c r="E64" i="8"/>
  <c r="E43" i="8"/>
  <c r="D43" i="8"/>
  <c r="E42" i="8"/>
  <c r="D42" i="8"/>
  <c r="E41" i="8"/>
  <c r="D41" i="8"/>
  <c r="F23" i="8"/>
  <c r="E23" i="8"/>
  <c r="F22" i="8"/>
  <c r="E22" i="8"/>
  <c r="F21" i="8"/>
  <c r="E21" i="8"/>
  <c r="F20" i="8"/>
  <c r="E20" i="8"/>
  <c r="F43" i="7"/>
  <c r="F42" i="7"/>
  <c r="F41" i="7"/>
  <c r="F19" i="8"/>
  <c r="E19" i="8"/>
  <c r="G65" i="7"/>
  <c r="F65" i="7"/>
  <c r="E65" i="7"/>
  <c r="G64" i="7"/>
  <c r="F64" i="7"/>
  <c r="E64" i="7"/>
  <c r="G63" i="7"/>
  <c r="F63" i="7"/>
  <c r="E63" i="7"/>
  <c r="E43" i="7"/>
  <c r="E42" i="7"/>
  <c r="E41" i="7"/>
  <c r="F24" i="7"/>
  <c r="D24" i="7"/>
  <c r="F22" i="7"/>
  <c r="D22" i="7"/>
  <c r="F20" i="7"/>
  <c r="D20" i="7"/>
  <c r="D31" i="2"/>
  <c r="D25" i="2"/>
  <c r="E31" i="2"/>
  <c r="E25" i="2"/>
  <c r="F23" i="3"/>
  <c r="E23" i="3"/>
  <c r="F21" i="3"/>
  <c r="E21" i="3"/>
  <c r="G20" i="5"/>
  <c r="G18" i="5"/>
  <c r="G16" i="5"/>
  <c r="F20" i="5"/>
  <c r="F16" i="5"/>
  <c r="F18" i="5"/>
  <c r="F19" i="3"/>
  <c r="E19" i="3"/>
</calcChain>
</file>

<file path=xl/sharedStrings.xml><?xml version="1.0" encoding="utf-8"?>
<sst xmlns="http://schemas.openxmlformats.org/spreadsheetml/2006/main" count="117" uniqueCount="13">
  <si>
    <t>Meses 2018</t>
  </si>
  <si>
    <t>Crescimento dos Lotes Produzidos Corretamente (%)</t>
  </si>
  <si>
    <t>Ganhos financeiros da Economia de Energia e Matérias Primas dos Lotes Corretos (%)</t>
  </si>
  <si>
    <t>Meses</t>
  </si>
  <si>
    <t xml:space="preserve">Quilometragem útil </t>
  </si>
  <si>
    <t>ROTA 1</t>
  </si>
  <si>
    <t>Rota 1</t>
  </si>
  <si>
    <t>Ganhos de</t>
  </si>
  <si>
    <t>Quilometragem Útil</t>
  </si>
  <si>
    <t>Rota 2</t>
  </si>
  <si>
    <t>(%)</t>
  </si>
  <si>
    <t>Produtividade</t>
  </si>
  <si>
    <t xml:space="preserve">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</si>
</sst>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2CC"/>
        <bgColor indexed="64"/>
      </patternFill>
    </fill>
  </fills>
  <borders count="15">
    <border>
      <left/>
      <right/>
      <top/>
      <bottom/>
      <diagonal/>
    </border>
    <border>
      <left style="medium">
        <color rgb="FF4F81BD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 style="medium">
        <color rgb="FF4F81BD"/>
      </left>
      <right/>
      <top style="medium">
        <color rgb="FF4F81BD"/>
      </top>
      <bottom style="medium">
        <color rgb="FF4F81BD"/>
      </bottom>
      <diagonal/>
    </border>
    <border>
      <left/>
      <right/>
      <top style="medium">
        <color rgb="FF4F81BD"/>
      </top>
      <bottom style="medium">
        <color rgb="FF4F81BD"/>
      </bottom>
      <diagonal/>
    </border>
    <border>
      <left style="medium">
        <color rgb="FF4F81BD"/>
      </left>
      <right/>
      <top/>
      <bottom/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 style="medium">
        <color rgb="FF4F81BD"/>
      </left>
      <right/>
      <top/>
      <bottom style="medium">
        <color rgb="FFFFD966"/>
      </bottom>
      <diagonal/>
    </border>
    <border>
      <left/>
      <right/>
      <top style="medium">
        <color rgb="FF4F81BD"/>
      </top>
      <bottom/>
      <diagonal/>
    </border>
    <border>
      <left/>
      <right/>
      <top/>
      <bottom style="medium">
        <color rgb="FFFFD966"/>
      </bottom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 style="medium">
        <color rgb="FF4F81BD"/>
      </right>
      <top/>
      <bottom style="medium">
        <color rgb="FFFFD966"/>
      </bottom>
      <diagonal/>
    </border>
    <border>
      <left style="medium">
        <color rgb="FF4F81BD"/>
      </left>
      <right/>
      <top/>
      <bottom style="medium">
        <color rgb="FF4F81BD"/>
      </bottom>
      <diagonal/>
    </border>
    <border>
      <left/>
      <right/>
      <top/>
      <bottom style="medium">
        <color rgb="FF4F81BD"/>
      </bottom>
      <diagonal/>
    </border>
    <border>
      <left/>
      <right style="medium">
        <color rgb="FF4F81BD"/>
      </right>
      <top/>
      <bottom style="medium">
        <color rgb="FF4F81B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right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righ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444258320"/>
        <c:axId val="444265864"/>
      </c:scatterChart>
      <c:valAx>
        <c:axId val="444258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265864"/>
        <c:crosses val="autoZero"/>
        <c:crossBetween val="midCat"/>
      </c:valAx>
      <c:valAx>
        <c:axId val="444265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258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ganhos financeiros em função d elotes corretos (log)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974654560291332"/>
                  <c:y val="-5.8510737694986728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'Regressão Log GABARITO'!$D$7:$D$13</c:f>
              <c:numCache>
                <c:formatCode>General</c:formatCode>
                <c:ptCount val="7"/>
                <c:pt idx="0">
                  <c:v>2.52</c:v>
                </c:pt>
                <c:pt idx="1">
                  <c:v>2.89</c:v>
                </c:pt>
                <c:pt idx="2">
                  <c:v>3.33</c:v>
                </c:pt>
                <c:pt idx="3">
                  <c:v>3.59</c:v>
                </c:pt>
                <c:pt idx="4">
                  <c:v>3.79</c:v>
                </c:pt>
                <c:pt idx="5">
                  <c:v>4.57</c:v>
                </c:pt>
                <c:pt idx="6">
                  <c:v>4.8600000000000003</c:v>
                </c:pt>
              </c:numCache>
            </c:numRef>
          </c:xVal>
          <c:yVal>
            <c:numRef>
              <c:f>'Regressão Log GABARITO'!$E$7:$E$13</c:f>
              <c:numCache>
                <c:formatCode>General</c:formatCode>
                <c:ptCount val="7"/>
                <c:pt idx="0">
                  <c:v>2.34</c:v>
                </c:pt>
                <c:pt idx="1">
                  <c:v>2.69</c:v>
                </c:pt>
                <c:pt idx="2">
                  <c:v>2.89</c:v>
                </c:pt>
                <c:pt idx="3">
                  <c:v>2.87</c:v>
                </c:pt>
                <c:pt idx="4">
                  <c:v>2.76</c:v>
                </c:pt>
                <c:pt idx="5">
                  <c:v>3.79</c:v>
                </c:pt>
                <c:pt idx="6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09-4F9A-B457-A6B9C60D889C}"/>
            </c:ext>
          </c:extLst>
        </c:ser>
        <c:ser>
          <c:idx val="1"/>
          <c:order val="1"/>
          <c:tx>
            <c:v>Ganhos financeiros em função de lotes (LOG)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3374926162071968"/>
                  <c:y val="-5.1205460201136747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'Regressão Log GABARITO'!$D$7:$D$13</c:f>
              <c:numCache>
                <c:formatCode>General</c:formatCode>
                <c:ptCount val="7"/>
                <c:pt idx="0">
                  <c:v>2.52</c:v>
                </c:pt>
                <c:pt idx="1">
                  <c:v>2.89</c:v>
                </c:pt>
                <c:pt idx="2">
                  <c:v>3.33</c:v>
                </c:pt>
                <c:pt idx="3">
                  <c:v>3.59</c:v>
                </c:pt>
                <c:pt idx="4">
                  <c:v>3.79</c:v>
                </c:pt>
                <c:pt idx="5">
                  <c:v>4.57</c:v>
                </c:pt>
                <c:pt idx="6">
                  <c:v>4.8600000000000003</c:v>
                </c:pt>
              </c:numCache>
            </c:numRef>
          </c:xVal>
          <c:yVal>
            <c:numRef>
              <c:f>'Regressão Log GABARITO'!$E$7:$E$13</c:f>
              <c:numCache>
                <c:formatCode>General</c:formatCode>
                <c:ptCount val="7"/>
                <c:pt idx="0">
                  <c:v>2.34</c:v>
                </c:pt>
                <c:pt idx="1">
                  <c:v>2.69</c:v>
                </c:pt>
                <c:pt idx="2">
                  <c:v>2.89</c:v>
                </c:pt>
                <c:pt idx="3">
                  <c:v>2.87</c:v>
                </c:pt>
                <c:pt idx="4">
                  <c:v>2.76</c:v>
                </c:pt>
                <c:pt idx="5">
                  <c:v>3.79</c:v>
                </c:pt>
                <c:pt idx="6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309-4F9A-B457-A6B9C60D88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1054624"/>
        <c:axId val="441059872"/>
      </c:scatterChart>
      <c:valAx>
        <c:axId val="4410546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059872"/>
        <c:crosses val="autoZero"/>
        <c:crossBetween val="midCat"/>
      </c:valAx>
      <c:valAx>
        <c:axId val="4410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1054624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Retorno financeiro em função de lotes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20875055836050241"/>
                  <c:y val="-3.000213188641003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'Regressão Log GABARITO'!$D$7:$D$13</c:f>
              <c:numCache>
                <c:formatCode>General</c:formatCode>
                <c:ptCount val="7"/>
                <c:pt idx="0">
                  <c:v>2.52</c:v>
                </c:pt>
                <c:pt idx="1">
                  <c:v>2.89</c:v>
                </c:pt>
                <c:pt idx="2">
                  <c:v>3.33</c:v>
                </c:pt>
                <c:pt idx="3">
                  <c:v>3.59</c:v>
                </c:pt>
                <c:pt idx="4">
                  <c:v>3.79</c:v>
                </c:pt>
                <c:pt idx="5">
                  <c:v>4.57</c:v>
                </c:pt>
                <c:pt idx="6">
                  <c:v>4.8600000000000003</c:v>
                </c:pt>
              </c:numCache>
            </c:numRef>
          </c:xVal>
          <c:yVal>
            <c:numRef>
              <c:f>'Regressão Log GABARITO'!$E$7:$E$13</c:f>
              <c:numCache>
                <c:formatCode>General</c:formatCode>
                <c:ptCount val="7"/>
                <c:pt idx="0">
                  <c:v>2.34</c:v>
                </c:pt>
                <c:pt idx="1">
                  <c:v>2.69</c:v>
                </c:pt>
                <c:pt idx="2">
                  <c:v>2.89</c:v>
                </c:pt>
                <c:pt idx="3">
                  <c:v>2.87</c:v>
                </c:pt>
                <c:pt idx="4">
                  <c:v>2.76</c:v>
                </c:pt>
                <c:pt idx="5">
                  <c:v>3.79</c:v>
                </c:pt>
                <c:pt idx="6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EDC-4723-9ADA-8188D45B4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89768"/>
        <c:axId val="558585504"/>
      </c:scatterChart>
      <c:valAx>
        <c:axId val="558589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585504"/>
        <c:crosses val="autoZero"/>
        <c:crossBetween val="midCat"/>
      </c:valAx>
      <c:valAx>
        <c:axId val="558585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589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Ganhos financeiros em função de lotes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Ganhos financeirocs em função de lotes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2767368943746896"/>
                  <c:y val="4.521258878578285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'Regressão Polinomial'!$E$8:$E$14</c:f>
              <c:numCache>
                <c:formatCode>General</c:formatCode>
                <c:ptCount val="7"/>
                <c:pt idx="0">
                  <c:v>2.52</c:v>
                </c:pt>
                <c:pt idx="1">
                  <c:v>2.89</c:v>
                </c:pt>
                <c:pt idx="2">
                  <c:v>3.33</c:v>
                </c:pt>
                <c:pt idx="3">
                  <c:v>3.59</c:v>
                </c:pt>
                <c:pt idx="4">
                  <c:v>3.79</c:v>
                </c:pt>
                <c:pt idx="5">
                  <c:v>4.57</c:v>
                </c:pt>
                <c:pt idx="6">
                  <c:v>4.8600000000000003</c:v>
                </c:pt>
              </c:numCache>
            </c:numRef>
          </c:xVal>
          <c:yVal>
            <c:numRef>
              <c:f>'Regressão Polinomial'!$F$8:$F$14</c:f>
              <c:numCache>
                <c:formatCode>General</c:formatCode>
                <c:ptCount val="7"/>
                <c:pt idx="0">
                  <c:v>2.34</c:v>
                </c:pt>
                <c:pt idx="1">
                  <c:v>2.69</c:v>
                </c:pt>
                <c:pt idx="2">
                  <c:v>2.89</c:v>
                </c:pt>
                <c:pt idx="3">
                  <c:v>2.87</c:v>
                </c:pt>
                <c:pt idx="4">
                  <c:v>2.76</c:v>
                </c:pt>
                <c:pt idx="5">
                  <c:v>3.79</c:v>
                </c:pt>
                <c:pt idx="6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01A-494B-A9FB-78A120493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613384"/>
        <c:axId val="558605184"/>
      </c:scatterChart>
      <c:valAx>
        <c:axId val="558613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605184"/>
        <c:crosses val="autoZero"/>
        <c:crossBetween val="midCat"/>
      </c:valAx>
      <c:valAx>
        <c:axId val="558605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613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Resultado Financeiro em função de lotes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1"/>
            <c:trendlineLbl>
              <c:layout>
                <c:manualLayout>
                  <c:x val="-0.21506395473652865"/>
                  <c:y val="4.378614748285289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'regressão exponencial'!$F$6:$F$12</c:f>
              <c:numCache>
                <c:formatCode>General</c:formatCode>
                <c:ptCount val="7"/>
                <c:pt idx="0">
                  <c:v>2.52</c:v>
                </c:pt>
                <c:pt idx="1">
                  <c:v>2.89</c:v>
                </c:pt>
                <c:pt idx="2">
                  <c:v>3.33</c:v>
                </c:pt>
                <c:pt idx="3">
                  <c:v>3.59</c:v>
                </c:pt>
                <c:pt idx="4">
                  <c:v>3.79</c:v>
                </c:pt>
                <c:pt idx="5">
                  <c:v>4.57</c:v>
                </c:pt>
                <c:pt idx="6">
                  <c:v>4.8600000000000003</c:v>
                </c:pt>
              </c:numCache>
            </c:numRef>
          </c:xVal>
          <c:yVal>
            <c:numRef>
              <c:f>'regressão exponencial'!$G$6:$G$12</c:f>
              <c:numCache>
                <c:formatCode>General</c:formatCode>
                <c:ptCount val="7"/>
                <c:pt idx="0">
                  <c:v>2.34</c:v>
                </c:pt>
                <c:pt idx="1">
                  <c:v>2.69</c:v>
                </c:pt>
                <c:pt idx="2">
                  <c:v>2.89</c:v>
                </c:pt>
                <c:pt idx="3">
                  <c:v>2.87</c:v>
                </c:pt>
                <c:pt idx="4">
                  <c:v>2.76</c:v>
                </c:pt>
                <c:pt idx="5">
                  <c:v>3.79</c:v>
                </c:pt>
                <c:pt idx="6">
                  <c:v>3.91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4E-4B6C-A723-3E1321A560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608464"/>
        <c:axId val="558605512"/>
      </c:scatterChart>
      <c:valAx>
        <c:axId val="55860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605512"/>
        <c:crosses val="autoZero"/>
        <c:crossBetween val="midCat"/>
      </c:valAx>
      <c:valAx>
        <c:axId val="558605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60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v>Rota 1 Produtividade em funçã de quilometragem útil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5804965004374452"/>
                  <c:y val="-1.477981918926800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'Análise de rotas'!$E$9:$E$16</c:f>
              <c:numCache>
                <c:formatCode>General</c:formatCode>
                <c:ptCount val="8"/>
                <c:pt idx="0">
                  <c:v>2.68</c:v>
                </c:pt>
                <c:pt idx="1">
                  <c:v>2.83</c:v>
                </c:pt>
                <c:pt idx="2">
                  <c:v>3.93</c:v>
                </c:pt>
                <c:pt idx="3">
                  <c:v>5.14</c:v>
                </c:pt>
                <c:pt idx="4">
                  <c:v>6.74</c:v>
                </c:pt>
                <c:pt idx="5">
                  <c:v>8.15</c:v>
                </c:pt>
                <c:pt idx="6">
                  <c:v>8.3699999999999992</c:v>
                </c:pt>
                <c:pt idx="7">
                  <c:v>9.32</c:v>
                </c:pt>
              </c:numCache>
            </c:numRef>
          </c:xVal>
          <c:yVal>
            <c:numRef>
              <c:f>'Análise de rotas'!$F$9:$F$16</c:f>
              <c:numCache>
                <c:formatCode>General</c:formatCode>
                <c:ptCount val="8"/>
                <c:pt idx="0">
                  <c:v>1.22</c:v>
                </c:pt>
                <c:pt idx="1">
                  <c:v>1.32</c:v>
                </c:pt>
                <c:pt idx="2">
                  <c:v>2.14</c:v>
                </c:pt>
                <c:pt idx="3">
                  <c:v>3.14</c:v>
                </c:pt>
                <c:pt idx="4">
                  <c:v>3.25</c:v>
                </c:pt>
                <c:pt idx="5">
                  <c:v>3.79</c:v>
                </c:pt>
                <c:pt idx="6">
                  <c:v>4.13</c:v>
                </c:pt>
                <c:pt idx="7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A4-46DA-8380-35E0384EEE0E}"/>
            </c:ext>
          </c:extLst>
        </c:ser>
        <c:ser>
          <c:idx val="1"/>
          <c:order val="1"/>
          <c:tx>
            <c:v>Rota 2: produtivdade em função de quilometragem 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3.8500935558237699E-2"/>
                  <c:y val="0.2072008997254424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'Análise de rotas'!$G$9:$G$16</c:f>
              <c:numCache>
                <c:formatCode>General</c:formatCode>
                <c:ptCount val="8"/>
                <c:pt idx="0">
                  <c:v>1.29</c:v>
                </c:pt>
                <c:pt idx="1">
                  <c:v>1.33</c:v>
                </c:pt>
                <c:pt idx="2">
                  <c:v>2.67</c:v>
                </c:pt>
                <c:pt idx="3">
                  <c:v>5.85</c:v>
                </c:pt>
                <c:pt idx="4">
                  <c:v>7.92</c:v>
                </c:pt>
                <c:pt idx="5">
                  <c:v>7.88</c:v>
                </c:pt>
                <c:pt idx="6">
                  <c:v>8.83</c:v>
                </c:pt>
                <c:pt idx="7">
                  <c:v>8.4499999999999993</c:v>
                </c:pt>
              </c:numCache>
            </c:numRef>
          </c:xVal>
          <c:yVal>
            <c:numRef>
              <c:f>'Análise de rotas'!$H$9:$H$16</c:f>
              <c:numCache>
                <c:formatCode>General</c:formatCode>
                <c:ptCount val="8"/>
                <c:pt idx="0">
                  <c:v>0.8</c:v>
                </c:pt>
                <c:pt idx="1">
                  <c:v>1.22</c:v>
                </c:pt>
                <c:pt idx="2">
                  <c:v>1.92</c:v>
                </c:pt>
                <c:pt idx="3">
                  <c:v>3.73</c:v>
                </c:pt>
                <c:pt idx="4">
                  <c:v>3.92</c:v>
                </c:pt>
                <c:pt idx="5">
                  <c:v>4.17</c:v>
                </c:pt>
                <c:pt idx="6">
                  <c:v>3.93</c:v>
                </c:pt>
                <c:pt idx="7">
                  <c:v>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AA4-46DA-8380-35E0384EE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4239296"/>
        <c:axId val="444241592"/>
      </c:scatterChart>
      <c:valAx>
        <c:axId val="444239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241592"/>
        <c:crosses val="autoZero"/>
        <c:crossBetween val="midCat"/>
      </c:valAx>
      <c:valAx>
        <c:axId val="444241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2392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Rota 1 Função logaritmica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17006200501400587"/>
                  <c:y val="-4.483864516935383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1- Regressões'!$E$9:$E$16</c:f>
              <c:numCache>
                <c:formatCode>General</c:formatCode>
                <c:ptCount val="8"/>
                <c:pt idx="0">
                  <c:v>2.68</c:v>
                </c:pt>
                <c:pt idx="1">
                  <c:v>2.83</c:v>
                </c:pt>
                <c:pt idx="2">
                  <c:v>3.93</c:v>
                </c:pt>
                <c:pt idx="3">
                  <c:v>5.14</c:v>
                </c:pt>
                <c:pt idx="4">
                  <c:v>6.74</c:v>
                </c:pt>
                <c:pt idx="5">
                  <c:v>8.15</c:v>
                </c:pt>
                <c:pt idx="6">
                  <c:v>8.3699999999999992</c:v>
                </c:pt>
                <c:pt idx="7">
                  <c:v>9.32</c:v>
                </c:pt>
              </c:numCache>
            </c:numRef>
          </c:xVal>
          <c:yVal>
            <c:numRef>
              <c:f>'Rota 1- Regressões'!$F$9:$F$16</c:f>
              <c:numCache>
                <c:formatCode>General</c:formatCode>
                <c:ptCount val="8"/>
                <c:pt idx="0">
                  <c:v>1.22</c:v>
                </c:pt>
                <c:pt idx="1">
                  <c:v>1.32</c:v>
                </c:pt>
                <c:pt idx="2">
                  <c:v>2.14</c:v>
                </c:pt>
                <c:pt idx="3">
                  <c:v>3.14</c:v>
                </c:pt>
                <c:pt idx="4">
                  <c:v>3.25</c:v>
                </c:pt>
                <c:pt idx="5">
                  <c:v>3.79</c:v>
                </c:pt>
                <c:pt idx="6">
                  <c:v>4.13</c:v>
                </c:pt>
                <c:pt idx="7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72-4544-AEBC-7B220BC66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8594688"/>
        <c:axId val="558598624"/>
      </c:scatterChart>
      <c:valAx>
        <c:axId val="55859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598624"/>
        <c:crosses val="autoZero"/>
        <c:crossBetween val="midCat"/>
      </c:valAx>
      <c:valAx>
        <c:axId val="558598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859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Produtividade em função de quilometragem polinomial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Produtividade em função 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2492386020134431"/>
                  <c:y val="-5.512823665579144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1- Regressões'!$E$31:$E$38</c:f>
              <c:numCache>
                <c:formatCode>General</c:formatCode>
                <c:ptCount val="8"/>
                <c:pt idx="0">
                  <c:v>2.68</c:v>
                </c:pt>
                <c:pt idx="1">
                  <c:v>2.83</c:v>
                </c:pt>
                <c:pt idx="2">
                  <c:v>3.93</c:v>
                </c:pt>
                <c:pt idx="3">
                  <c:v>5.14</c:v>
                </c:pt>
                <c:pt idx="4">
                  <c:v>6.74</c:v>
                </c:pt>
                <c:pt idx="5">
                  <c:v>8.15</c:v>
                </c:pt>
                <c:pt idx="6">
                  <c:v>8.3699999999999992</c:v>
                </c:pt>
                <c:pt idx="7">
                  <c:v>9.32</c:v>
                </c:pt>
              </c:numCache>
            </c:numRef>
          </c:xVal>
          <c:yVal>
            <c:numRef>
              <c:f>'Rota 1- Regressões'!$F$31:$F$38</c:f>
              <c:numCache>
                <c:formatCode>General</c:formatCode>
                <c:ptCount val="8"/>
                <c:pt idx="0">
                  <c:v>1.22</c:v>
                </c:pt>
                <c:pt idx="1">
                  <c:v>1.32</c:v>
                </c:pt>
                <c:pt idx="2">
                  <c:v>2.14</c:v>
                </c:pt>
                <c:pt idx="3">
                  <c:v>3.14</c:v>
                </c:pt>
                <c:pt idx="4">
                  <c:v>3.25</c:v>
                </c:pt>
                <c:pt idx="5">
                  <c:v>3.79</c:v>
                </c:pt>
                <c:pt idx="6">
                  <c:v>4.13</c:v>
                </c:pt>
                <c:pt idx="7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3D-4BD1-86A9-1B693541A1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77576"/>
        <c:axId val="400317856"/>
      </c:scatterChart>
      <c:valAx>
        <c:axId val="556377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00317856"/>
        <c:crosses val="autoZero"/>
        <c:crossBetween val="midCat"/>
      </c:valAx>
      <c:valAx>
        <c:axId val="4003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37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Rota 1 Exponencial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048152199568856"/>
                  <c:y val="7.996565083472849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1- Regressões'!$E$53:$E$60</c:f>
              <c:numCache>
                <c:formatCode>General</c:formatCode>
                <c:ptCount val="8"/>
                <c:pt idx="0">
                  <c:v>2.68</c:v>
                </c:pt>
                <c:pt idx="1">
                  <c:v>2.83</c:v>
                </c:pt>
                <c:pt idx="2">
                  <c:v>3.93</c:v>
                </c:pt>
                <c:pt idx="3">
                  <c:v>5.14</c:v>
                </c:pt>
                <c:pt idx="4">
                  <c:v>6.74</c:v>
                </c:pt>
                <c:pt idx="5">
                  <c:v>8.15</c:v>
                </c:pt>
                <c:pt idx="6">
                  <c:v>8.3699999999999992</c:v>
                </c:pt>
                <c:pt idx="7">
                  <c:v>9.32</c:v>
                </c:pt>
              </c:numCache>
            </c:numRef>
          </c:xVal>
          <c:yVal>
            <c:numRef>
              <c:f>'Rota 1- Regressões'!$F$53:$F$60</c:f>
              <c:numCache>
                <c:formatCode>General</c:formatCode>
                <c:ptCount val="8"/>
                <c:pt idx="0">
                  <c:v>1.22</c:v>
                </c:pt>
                <c:pt idx="1">
                  <c:v>1.32</c:v>
                </c:pt>
                <c:pt idx="2">
                  <c:v>2.14</c:v>
                </c:pt>
                <c:pt idx="3">
                  <c:v>3.14</c:v>
                </c:pt>
                <c:pt idx="4">
                  <c:v>3.25</c:v>
                </c:pt>
                <c:pt idx="5">
                  <c:v>3.79</c:v>
                </c:pt>
                <c:pt idx="6">
                  <c:v>4.13</c:v>
                </c:pt>
                <c:pt idx="7">
                  <c:v>5.23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BD-4576-BA23-44A88C2101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20056"/>
        <c:axId val="635620384"/>
      </c:scatterChart>
      <c:valAx>
        <c:axId val="63562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620384"/>
        <c:crosses val="autoZero"/>
        <c:crossBetween val="midCat"/>
      </c:valAx>
      <c:valAx>
        <c:axId val="63562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62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Rota 2 Produtividade em função de quilometragem (polinomial)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8.3318907170501999E-2"/>
                  <c:y val="0.186470008174834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2 - Regressão Produ Quilom'!$G$9:$G$16</c:f>
              <c:numCache>
                <c:formatCode>General</c:formatCode>
                <c:ptCount val="8"/>
                <c:pt idx="0">
                  <c:v>1.29</c:v>
                </c:pt>
                <c:pt idx="1">
                  <c:v>1.33</c:v>
                </c:pt>
                <c:pt idx="2">
                  <c:v>2.67</c:v>
                </c:pt>
                <c:pt idx="3">
                  <c:v>5.85</c:v>
                </c:pt>
                <c:pt idx="4">
                  <c:v>7.92</c:v>
                </c:pt>
                <c:pt idx="5">
                  <c:v>7.88</c:v>
                </c:pt>
                <c:pt idx="6">
                  <c:v>8.83</c:v>
                </c:pt>
                <c:pt idx="7">
                  <c:v>8.4499999999999993</c:v>
                </c:pt>
              </c:numCache>
            </c:numRef>
          </c:xVal>
          <c:yVal>
            <c:numRef>
              <c:f>'Rota 2 - Regressão Produ Quilom'!$H$9:$H$16</c:f>
              <c:numCache>
                <c:formatCode>General</c:formatCode>
                <c:ptCount val="8"/>
                <c:pt idx="0">
                  <c:v>0.8</c:v>
                </c:pt>
                <c:pt idx="1">
                  <c:v>1.22</c:v>
                </c:pt>
                <c:pt idx="2">
                  <c:v>1.92</c:v>
                </c:pt>
                <c:pt idx="3">
                  <c:v>3.73</c:v>
                </c:pt>
                <c:pt idx="4">
                  <c:v>3.92</c:v>
                </c:pt>
                <c:pt idx="5">
                  <c:v>4.17</c:v>
                </c:pt>
                <c:pt idx="6">
                  <c:v>3.93</c:v>
                </c:pt>
                <c:pt idx="7">
                  <c:v>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A0-4FE4-A890-025C51FE51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5620056"/>
        <c:axId val="629559256"/>
      </c:scatterChart>
      <c:valAx>
        <c:axId val="635620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29559256"/>
        <c:crosses val="autoZero"/>
        <c:crossBetween val="midCat"/>
      </c:valAx>
      <c:valAx>
        <c:axId val="629559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35620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Rota 2 Produtividade em função de quilometragem (logaritmica)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og"/>
            <c:dispRSqr val="1"/>
            <c:dispEq val="1"/>
            <c:trendlineLbl>
              <c:layout>
                <c:manualLayout>
                  <c:x val="-0.3407183279486698"/>
                  <c:y val="-2.605646013705300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2 - Regressão Produ Quilom'!$G$31:$G$38</c:f>
              <c:numCache>
                <c:formatCode>General</c:formatCode>
                <c:ptCount val="8"/>
                <c:pt idx="0">
                  <c:v>1.29</c:v>
                </c:pt>
                <c:pt idx="1">
                  <c:v>1.33</c:v>
                </c:pt>
                <c:pt idx="2">
                  <c:v>2.67</c:v>
                </c:pt>
                <c:pt idx="3">
                  <c:v>5.85</c:v>
                </c:pt>
                <c:pt idx="4">
                  <c:v>7.92</c:v>
                </c:pt>
                <c:pt idx="5">
                  <c:v>7.88</c:v>
                </c:pt>
                <c:pt idx="6">
                  <c:v>8.83</c:v>
                </c:pt>
                <c:pt idx="7">
                  <c:v>8.4499999999999993</c:v>
                </c:pt>
              </c:numCache>
            </c:numRef>
          </c:xVal>
          <c:yVal>
            <c:numRef>
              <c:f>'Rota 2 - Regressão Produ Quilom'!$H$31:$H$38</c:f>
              <c:numCache>
                <c:formatCode>General</c:formatCode>
                <c:ptCount val="8"/>
                <c:pt idx="0">
                  <c:v>0.8</c:v>
                </c:pt>
                <c:pt idx="1">
                  <c:v>1.22</c:v>
                </c:pt>
                <c:pt idx="2">
                  <c:v>1.92</c:v>
                </c:pt>
                <c:pt idx="3">
                  <c:v>3.73</c:v>
                </c:pt>
                <c:pt idx="4">
                  <c:v>3.92</c:v>
                </c:pt>
                <c:pt idx="5">
                  <c:v>4.17</c:v>
                </c:pt>
                <c:pt idx="6">
                  <c:v>3.93</c:v>
                </c:pt>
                <c:pt idx="7">
                  <c:v>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BCF-4F3B-9F5B-D8F0A822F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443672"/>
        <c:axId val="546444000"/>
      </c:scatterChart>
      <c:valAx>
        <c:axId val="546443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44000"/>
        <c:crosses val="autoZero"/>
        <c:crossBetween val="midCat"/>
      </c:valAx>
      <c:valAx>
        <c:axId val="546444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464436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Produtividade em função de (quilometragem)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35979806847766943"/>
                  <c:y val="3.547249825212896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</c:trendlineLbl>
          </c:trendline>
          <c:xVal>
            <c:numRef>
              <c:f>'Rota 2 - Regressão Produ Quilom'!$G$53:$G$60</c:f>
              <c:numCache>
                <c:formatCode>General</c:formatCode>
                <c:ptCount val="8"/>
                <c:pt idx="0">
                  <c:v>1.29</c:v>
                </c:pt>
                <c:pt idx="1">
                  <c:v>1.33</c:v>
                </c:pt>
                <c:pt idx="2">
                  <c:v>2.67</c:v>
                </c:pt>
                <c:pt idx="3">
                  <c:v>5.85</c:v>
                </c:pt>
                <c:pt idx="4">
                  <c:v>7.92</c:v>
                </c:pt>
                <c:pt idx="5">
                  <c:v>7.88</c:v>
                </c:pt>
                <c:pt idx="6">
                  <c:v>8.83</c:v>
                </c:pt>
                <c:pt idx="7">
                  <c:v>8.4499999999999993</c:v>
                </c:pt>
              </c:numCache>
            </c:numRef>
          </c:xVal>
          <c:yVal>
            <c:numRef>
              <c:f>'Rota 2 - Regressão Produ Quilom'!$H$53:$H$60</c:f>
              <c:numCache>
                <c:formatCode>General</c:formatCode>
                <c:ptCount val="8"/>
                <c:pt idx="0">
                  <c:v>0.8</c:v>
                </c:pt>
                <c:pt idx="1">
                  <c:v>1.22</c:v>
                </c:pt>
                <c:pt idx="2">
                  <c:v>1.92</c:v>
                </c:pt>
                <c:pt idx="3">
                  <c:v>3.73</c:v>
                </c:pt>
                <c:pt idx="4">
                  <c:v>3.92</c:v>
                </c:pt>
                <c:pt idx="5">
                  <c:v>4.17</c:v>
                </c:pt>
                <c:pt idx="6">
                  <c:v>3.93</c:v>
                </c:pt>
                <c:pt idx="7">
                  <c:v>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2A-4D15-A9A5-308410F1A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6734800"/>
        <c:axId val="444881112"/>
      </c:scatterChart>
      <c:valAx>
        <c:axId val="446734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4881112"/>
        <c:crosses val="autoZero"/>
        <c:crossBetween val="midCat"/>
      </c:valAx>
      <c:valAx>
        <c:axId val="44488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46734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95250</xdr:colOff>
      <xdr:row>4</xdr:row>
      <xdr:rowOff>214312</xdr:rowOff>
    </xdr:from>
    <xdr:to>
      <xdr:col>15</xdr:col>
      <xdr:colOff>400050</xdr:colOff>
      <xdr:row>8</xdr:row>
      <xdr:rowOff>61912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9FC6734-A7E8-4A29-B960-6B36B0C94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523875</xdr:colOff>
      <xdr:row>4</xdr:row>
      <xdr:rowOff>157161</xdr:rowOff>
    </xdr:from>
    <xdr:to>
      <xdr:col>20</xdr:col>
      <xdr:colOff>200025</xdr:colOff>
      <xdr:row>19</xdr:row>
      <xdr:rowOff>95249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02C1117-77A7-45F4-9DCB-F27509800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314325</xdr:colOff>
      <xdr:row>19</xdr:row>
      <xdr:rowOff>57150</xdr:rowOff>
    </xdr:from>
    <xdr:ext cx="184731" cy="264560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89C1A465-5DEE-4106-B562-61EE7A1C10CD}"/>
            </a:ext>
          </a:extLst>
        </xdr:cNvPr>
        <xdr:cNvSpPr txBox="1"/>
      </xdr:nvSpPr>
      <xdr:spPr>
        <a:xfrm>
          <a:off x="923925" y="585787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pt-BR" sz="1100"/>
        </a:p>
      </xdr:txBody>
    </xdr:sp>
    <xdr:clientData/>
  </xdr:oneCellAnchor>
  <xdr:twoCellAnchor>
    <xdr:from>
      <xdr:col>6</xdr:col>
      <xdr:colOff>342901</xdr:colOff>
      <xdr:row>22</xdr:row>
      <xdr:rowOff>109536</xdr:rowOff>
    </xdr:from>
    <xdr:to>
      <xdr:col>20</xdr:col>
      <xdr:colOff>409575</xdr:colOff>
      <xdr:row>48</xdr:row>
      <xdr:rowOff>133349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3898251-8FCC-41BA-B1E5-34A875D56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</xdr:row>
      <xdr:rowOff>128586</xdr:rowOff>
    </xdr:from>
    <xdr:to>
      <xdr:col>21</xdr:col>
      <xdr:colOff>19050</xdr:colOff>
      <xdr:row>18</xdr:row>
      <xdr:rowOff>28574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9A997AB-1BC6-4601-A4EA-57237F449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142875</xdr:colOff>
      <xdr:row>4</xdr:row>
      <xdr:rowOff>119062</xdr:rowOff>
    </xdr:from>
    <xdr:to>
      <xdr:col>22</xdr:col>
      <xdr:colOff>47625</xdr:colOff>
      <xdr:row>16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F39086-6775-48D8-8421-434D611468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533400</xdr:colOff>
      <xdr:row>19</xdr:row>
      <xdr:rowOff>0</xdr:rowOff>
    </xdr:from>
    <xdr:ext cx="2946384" cy="264560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A5781561-582D-4B69-B363-4F5100A09E31}"/>
            </a:ext>
          </a:extLst>
        </xdr:cNvPr>
        <xdr:cNvSpPr txBox="1"/>
      </xdr:nvSpPr>
      <xdr:spPr>
        <a:xfrm>
          <a:off x="1143000" y="4495800"/>
          <a:ext cx="294638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pt-BR" sz="1100"/>
            <a:t>Lembrar que produtividade é função de insumo </a:t>
          </a:r>
        </a:p>
      </xdr:txBody>
    </xdr:sp>
    <xdr:clientData/>
  </xdr:oneCellAnchor>
  <xdr:twoCellAnchor>
    <xdr:from>
      <xdr:col>11</xdr:col>
      <xdr:colOff>152400</xdr:colOff>
      <xdr:row>4</xdr:row>
      <xdr:rowOff>61912</xdr:rowOff>
    </xdr:from>
    <xdr:to>
      <xdr:col>24</xdr:col>
      <xdr:colOff>57150</xdr:colOff>
      <xdr:row>23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FE2DA78-ABD7-4C63-82A7-BBDB9F1D98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390524</xdr:colOff>
      <xdr:row>2</xdr:row>
      <xdr:rowOff>28575</xdr:rowOff>
    </xdr:from>
    <xdr:to>
      <xdr:col>23</xdr:col>
      <xdr:colOff>114299</xdr:colOff>
      <xdr:row>18</xdr:row>
      <xdr:rowOff>104775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C67F502-1001-45FD-8F70-B8C1BC9ECD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333375</xdr:colOff>
      <xdr:row>26</xdr:row>
      <xdr:rowOff>61911</xdr:rowOff>
    </xdr:from>
    <xdr:to>
      <xdr:col>22</xdr:col>
      <xdr:colOff>219074</xdr:colOff>
      <xdr:row>41</xdr:row>
      <xdr:rowOff>38099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25F3160-E98C-4135-97E0-AC6EF0C77F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</xdr:colOff>
      <xdr:row>45</xdr:row>
      <xdr:rowOff>66675</xdr:rowOff>
    </xdr:from>
    <xdr:to>
      <xdr:col>23</xdr:col>
      <xdr:colOff>114299</xdr:colOff>
      <xdr:row>61</xdr:row>
      <xdr:rowOff>71437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E4FEA1D-A7BD-4115-9F30-4B13868225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3</xdr:row>
      <xdr:rowOff>147637</xdr:rowOff>
    </xdr:from>
    <xdr:to>
      <xdr:col>23</xdr:col>
      <xdr:colOff>400050</xdr:colOff>
      <xdr:row>18</xdr:row>
      <xdr:rowOff>161925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9658C97-0D12-4533-8E77-DDFB0D701D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257175</xdr:colOff>
      <xdr:row>25</xdr:row>
      <xdr:rowOff>180975</xdr:rowOff>
    </xdr:from>
    <xdr:to>
      <xdr:col>24</xdr:col>
      <xdr:colOff>85724</xdr:colOff>
      <xdr:row>43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6CBB113-A038-47D9-83E0-6ABB4EC549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566736</xdr:colOff>
      <xdr:row>46</xdr:row>
      <xdr:rowOff>180975</xdr:rowOff>
    </xdr:from>
    <xdr:to>
      <xdr:col>23</xdr:col>
      <xdr:colOff>266699</xdr:colOff>
      <xdr:row>65</xdr:row>
      <xdr:rowOff>47625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D62A355-9969-4B8E-AD17-1D93B0F66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41F9A-E3E3-45A5-8BE1-B73F148B527F}">
  <dimension ref="D4:F12"/>
  <sheetViews>
    <sheetView workbookViewId="0">
      <selection activeCell="F23" sqref="F23"/>
    </sheetView>
  </sheetViews>
  <sheetFormatPr defaultRowHeight="15" x14ac:dyDescent="0.25"/>
  <cols>
    <col min="4" max="4" width="18.5703125" customWidth="1"/>
    <col min="5" max="5" width="25" customWidth="1"/>
    <col min="6" max="6" width="30.7109375" customWidth="1"/>
  </cols>
  <sheetData>
    <row r="4" spans="4:6" ht="15.75" thickBot="1" x14ac:dyDescent="0.3"/>
    <row r="5" spans="4:6" ht="45.75" thickBot="1" x14ac:dyDescent="0.3">
      <c r="D5" s="1" t="s">
        <v>0</v>
      </c>
      <c r="E5" s="2" t="s">
        <v>1</v>
      </c>
      <c r="F5" s="3" t="s">
        <v>2</v>
      </c>
    </row>
    <row r="6" spans="4:6" ht="15.75" thickBot="1" x14ac:dyDescent="0.3">
      <c r="D6" s="4">
        <v>1</v>
      </c>
      <c r="E6" s="5">
        <v>2.52</v>
      </c>
      <c r="F6" s="5">
        <v>2.34</v>
      </c>
    </row>
    <row r="7" spans="4:6" ht="15.75" thickBot="1" x14ac:dyDescent="0.3">
      <c r="D7" s="6">
        <v>2</v>
      </c>
      <c r="E7" s="7">
        <v>2.89</v>
      </c>
      <c r="F7" s="7">
        <v>2.69</v>
      </c>
    </row>
    <row r="8" spans="4:6" ht="15.75" thickBot="1" x14ac:dyDescent="0.3">
      <c r="D8" s="4">
        <v>3</v>
      </c>
      <c r="E8" s="5">
        <v>3.33</v>
      </c>
      <c r="F8" s="5">
        <v>2.89</v>
      </c>
    </row>
    <row r="9" spans="4:6" ht="15.75" thickBot="1" x14ac:dyDescent="0.3">
      <c r="D9" s="6">
        <v>4</v>
      </c>
      <c r="E9" s="7">
        <v>3.59</v>
      </c>
      <c r="F9" s="7">
        <v>2.87</v>
      </c>
    </row>
    <row r="10" spans="4:6" ht="15.75" thickBot="1" x14ac:dyDescent="0.3">
      <c r="D10" s="4">
        <v>5</v>
      </c>
      <c r="E10" s="5">
        <v>3.79</v>
      </c>
      <c r="F10" s="5">
        <v>2.76</v>
      </c>
    </row>
    <row r="11" spans="4:6" ht="15.75" thickBot="1" x14ac:dyDescent="0.3">
      <c r="D11" s="6">
        <v>6</v>
      </c>
      <c r="E11" s="7">
        <v>4.57</v>
      </c>
      <c r="F11" s="7">
        <v>3.79</v>
      </c>
    </row>
    <row r="12" spans="4:6" ht="15.75" thickBot="1" x14ac:dyDescent="0.3">
      <c r="D12" s="4">
        <v>7</v>
      </c>
      <c r="E12" s="5">
        <v>4.8600000000000003</v>
      </c>
      <c r="F12" s="5">
        <v>3.91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943B-E8B7-4A85-AC7F-0D62B435B017}">
  <dimension ref="C5:E31"/>
  <sheetViews>
    <sheetView tabSelected="1" topLeftCell="B1" workbookViewId="0">
      <selection activeCell="E25" sqref="E25"/>
    </sheetView>
  </sheetViews>
  <sheetFormatPr defaultRowHeight="15" x14ac:dyDescent="0.25"/>
  <cols>
    <col min="3" max="3" width="19.85546875" customWidth="1"/>
    <col min="4" max="4" width="25" customWidth="1"/>
    <col min="5" max="5" width="24" customWidth="1"/>
  </cols>
  <sheetData>
    <row r="5" spans="3:5" ht="15.75" thickBot="1" x14ac:dyDescent="0.3"/>
    <row r="6" spans="3:5" ht="60.75" thickBot="1" x14ac:dyDescent="0.3">
      <c r="C6" s="1" t="s">
        <v>0</v>
      </c>
      <c r="D6" s="2" t="s">
        <v>1</v>
      </c>
      <c r="E6" s="3" t="s">
        <v>2</v>
      </c>
    </row>
    <row r="7" spans="3:5" ht="15.75" thickBot="1" x14ac:dyDescent="0.3">
      <c r="C7" s="4">
        <v>1</v>
      </c>
      <c r="D7" s="5">
        <v>2.52</v>
      </c>
      <c r="E7" s="5">
        <v>2.34</v>
      </c>
    </row>
    <row r="8" spans="3:5" ht="15.75" thickBot="1" x14ac:dyDescent="0.3">
      <c r="C8" s="6">
        <v>2</v>
      </c>
      <c r="D8" s="7">
        <v>2.89</v>
      </c>
      <c r="E8" s="7">
        <v>2.69</v>
      </c>
    </row>
    <row r="9" spans="3:5" ht="15.75" thickBot="1" x14ac:dyDescent="0.3">
      <c r="C9" s="4">
        <v>3</v>
      </c>
      <c r="D9" s="5">
        <v>3.33</v>
      </c>
      <c r="E9" s="5">
        <v>2.89</v>
      </c>
    </row>
    <row r="10" spans="3:5" ht="15.75" thickBot="1" x14ac:dyDescent="0.3">
      <c r="C10" s="6">
        <v>4</v>
      </c>
      <c r="D10" s="7">
        <v>3.59</v>
      </c>
      <c r="E10" s="7">
        <v>2.87</v>
      </c>
    </row>
    <row r="11" spans="3:5" ht="15.75" thickBot="1" x14ac:dyDescent="0.3">
      <c r="C11" s="4">
        <v>5</v>
      </c>
      <c r="D11" s="5">
        <v>3.79</v>
      </c>
      <c r="E11" s="5">
        <v>2.76</v>
      </c>
    </row>
    <row r="12" spans="3:5" ht="15.75" thickBot="1" x14ac:dyDescent="0.3">
      <c r="C12" s="6">
        <v>6</v>
      </c>
      <c r="D12" s="7">
        <v>4.57</v>
      </c>
      <c r="E12" s="7">
        <v>3.79</v>
      </c>
    </row>
    <row r="13" spans="3:5" ht="15.75" thickBot="1" x14ac:dyDescent="0.3">
      <c r="C13" s="4">
        <v>7</v>
      </c>
      <c r="D13" s="5">
        <v>4.8600000000000003</v>
      </c>
      <c r="E13" s="5">
        <v>3.91</v>
      </c>
    </row>
    <row r="25" spans="4:5" x14ac:dyDescent="0.25">
      <c r="D25">
        <f>LN(4.57)</f>
        <v>1.5195132049061133</v>
      </c>
      <c r="E25">
        <f>LN(4.86)</f>
        <v>1.5810384379124025</v>
      </c>
    </row>
    <row r="31" spans="4:5" x14ac:dyDescent="0.25">
      <c r="D31">
        <f>(2.3115*D25)+0.0969</f>
        <v>3.6092547731404814</v>
      </c>
      <c r="E31">
        <f>(2.3115*E25)+0.0969</f>
        <v>3.7514703492345189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06ABE-F212-4315-9FF5-23FB682F09DA}">
  <dimension ref="D6:F23"/>
  <sheetViews>
    <sheetView workbookViewId="0">
      <selection activeCell="F23" sqref="F23"/>
    </sheetView>
  </sheetViews>
  <sheetFormatPr defaultRowHeight="15" x14ac:dyDescent="0.25"/>
  <cols>
    <col min="4" max="4" width="20.140625" customWidth="1"/>
    <col min="5" max="5" width="21.85546875" customWidth="1"/>
    <col min="6" max="6" width="47.42578125" customWidth="1"/>
  </cols>
  <sheetData>
    <row r="6" spans="4:6" ht="15.75" thickBot="1" x14ac:dyDescent="0.3"/>
    <row r="7" spans="4:6" ht="45.75" thickBot="1" x14ac:dyDescent="0.3">
      <c r="D7" s="1" t="s">
        <v>0</v>
      </c>
      <c r="E7" s="2" t="s">
        <v>1</v>
      </c>
      <c r="F7" s="3" t="s">
        <v>2</v>
      </c>
    </row>
    <row r="8" spans="4:6" ht="15.75" thickBot="1" x14ac:dyDescent="0.3">
      <c r="D8" s="4">
        <v>1</v>
      </c>
      <c r="E8" s="5">
        <v>2.52</v>
      </c>
      <c r="F8" s="5">
        <v>2.34</v>
      </c>
    </row>
    <row r="9" spans="4:6" ht="15.75" thickBot="1" x14ac:dyDescent="0.3">
      <c r="D9" s="6">
        <v>2</v>
      </c>
      <c r="E9" s="7">
        <v>2.89</v>
      </c>
      <c r="F9" s="7">
        <v>2.69</v>
      </c>
    </row>
    <row r="10" spans="4:6" ht="15.75" thickBot="1" x14ac:dyDescent="0.3">
      <c r="D10" s="4">
        <v>3</v>
      </c>
      <c r="E10" s="5">
        <v>3.33</v>
      </c>
      <c r="F10" s="5">
        <v>2.89</v>
      </c>
    </row>
    <row r="11" spans="4:6" ht="15.75" thickBot="1" x14ac:dyDescent="0.3">
      <c r="D11" s="6">
        <v>4</v>
      </c>
      <c r="E11" s="7">
        <v>3.59</v>
      </c>
      <c r="F11" s="7">
        <v>2.87</v>
      </c>
    </row>
    <row r="12" spans="4:6" ht="15.75" thickBot="1" x14ac:dyDescent="0.3">
      <c r="D12" s="4">
        <v>5</v>
      </c>
      <c r="E12" s="5">
        <v>3.79</v>
      </c>
      <c r="F12" s="5">
        <v>2.76</v>
      </c>
    </row>
    <row r="13" spans="4:6" ht="15.75" thickBot="1" x14ac:dyDescent="0.3">
      <c r="D13" s="6">
        <v>6</v>
      </c>
      <c r="E13" s="7">
        <v>4.57</v>
      </c>
      <c r="F13" s="7">
        <v>3.79</v>
      </c>
    </row>
    <row r="14" spans="4:6" ht="15.75" thickBot="1" x14ac:dyDescent="0.3">
      <c r="D14" s="4">
        <v>7</v>
      </c>
      <c r="E14" s="5">
        <v>4.8600000000000003</v>
      </c>
      <c r="F14" s="5">
        <v>3.91</v>
      </c>
    </row>
    <row r="19" spans="5:6" x14ac:dyDescent="0.25">
      <c r="E19">
        <f>4.86^2</f>
        <v>23.619600000000002</v>
      </c>
      <c r="F19">
        <f>(((0.185*E19)- (0.7297*E14)+3.0889))</f>
        <v>3.9121840000000003</v>
      </c>
    </row>
    <row r="21" spans="5:6" x14ac:dyDescent="0.25">
      <c r="E21">
        <f>4.57^2</f>
        <v>20.884900000000002</v>
      </c>
      <c r="F21">
        <f>(((0.185*E21)-(0.7207*E13)+3.0889))</f>
        <v>3.6590075</v>
      </c>
    </row>
    <row r="23" spans="5:6" x14ac:dyDescent="0.25">
      <c r="E23">
        <f>3.79^2</f>
        <v>14.364100000000001</v>
      </c>
      <c r="F23">
        <f>(((0.185*E23)-(0.7207*E12)+3.0889))</f>
        <v>3.0148055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79DA6-7584-46A2-B014-1F0A0ACB4B8A}">
  <dimension ref="E4:G20"/>
  <sheetViews>
    <sheetView workbookViewId="0">
      <selection activeCell="F18" sqref="F18"/>
    </sheetView>
  </sheetViews>
  <sheetFormatPr defaultRowHeight="15" x14ac:dyDescent="0.25"/>
  <cols>
    <col min="5" max="5" width="19.28515625" customWidth="1"/>
    <col min="6" max="6" width="23.5703125" customWidth="1"/>
    <col min="7" max="7" width="32.85546875" customWidth="1"/>
  </cols>
  <sheetData>
    <row r="4" spans="5:7" ht="15.75" thickBot="1" x14ac:dyDescent="0.3"/>
    <row r="5" spans="5:7" ht="45.75" thickBot="1" x14ac:dyDescent="0.3">
      <c r="E5" s="1" t="s">
        <v>0</v>
      </c>
      <c r="F5" s="2" t="s">
        <v>1</v>
      </c>
      <c r="G5" s="3" t="s">
        <v>2</v>
      </c>
    </row>
    <row r="6" spans="5:7" ht="15.75" thickBot="1" x14ac:dyDescent="0.3">
      <c r="E6" s="4">
        <v>1</v>
      </c>
      <c r="F6" s="5">
        <v>2.52</v>
      </c>
      <c r="G6" s="5">
        <v>2.34</v>
      </c>
    </row>
    <row r="7" spans="5:7" ht="15.75" thickBot="1" x14ac:dyDescent="0.3">
      <c r="E7" s="6">
        <v>2</v>
      </c>
      <c r="F7" s="7">
        <v>2.89</v>
      </c>
      <c r="G7" s="7">
        <v>2.69</v>
      </c>
    </row>
    <row r="8" spans="5:7" ht="15.75" thickBot="1" x14ac:dyDescent="0.3">
      <c r="E8" s="4">
        <v>3</v>
      </c>
      <c r="F8" s="5">
        <v>3.33</v>
      </c>
      <c r="G8" s="5">
        <v>2.89</v>
      </c>
    </row>
    <row r="9" spans="5:7" ht="15.75" thickBot="1" x14ac:dyDescent="0.3">
      <c r="E9" s="6">
        <v>4</v>
      </c>
      <c r="F9" s="7">
        <v>3.59</v>
      </c>
      <c r="G9" s="7">
        <v>2.87</v>
      </c>
    </row>
    <row r="10" spans="5:7" ht="15.75" thickBot="1" x14ac:dyDescent="0.3">
      <c r="E10" s="4">
        <v>5</v>
      </c>
      <c r="F10" s="5">
        <v>3.79</v>
      </c>
      <c r="G10" s="5">
        <v>2.76</v>
      </c>
    </row>
    <row r="11" spans="5:7" ht="15.75" thickBot="1" x14ac:dyDescent="0.3">
      <c r="E11" s="6">
        <v>6</v>
      </c>
      <c r="F11" s="7">
        <v>4.57</v>
      </c>
      <c r="G11" s="7">
        <v>3.79</v>
      </c>
    </row>
    <row r="12" spans="5:7" ht="15.75" thickBot="1" x14ac:dyDescent="0.3">
      <c r="E12" s="4">
        <v>7</v>
      </c>
      <c r="F12" s="5">
        <v>4.8600000000000003</v>
      </c>
      <c r="G12" s="5">
        <v>3.91</v>
      </c>
    </row>
    <row r="16" spans="5:7" x14ac:dyDescent="0.25">
      <c r="F16">
        <f>(0.2103*4.86)</f>
        <v>1.0220579999999999</v>
      </c>
      <c r="G16">
        <f>(0.2103*4.57)</f>
        <v>0.96107100000000001</v>
      </c>
    </row>
    <row r="18" spans="6:7" x14ac:dyDescent="0.25">
      <c r="F18">
        <f>EXP(1.022058)</f>
        <v>2.7789078755639469</v>
      </c>
      <c r="G18">
        <f>EXP(G16)</f>
        <v>2.6144950987425011</v>
      </c>
    </row>
    <row r="20" spans="6:7" x14ac:dyDescent="0.25">
      <c r="F20">
        <f>(1.3878*F18)</f>
        <v>3.8565683497076453</v>
      </c>
      <c r="G20">
        <f>(1.3878*G18)</f>
        <v>3.628396298034843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4DF6-6057-4DC6-9456-FD33F45FEEB0}">
  <dimension ref="D4:H16"/>
  <sheetViews>
    <sheetView workbookViewId="0">
      <selection activeCell="L30" sqref="L30"/>
    </sheetView>
  </sheetViews>
  <sheetFormatPr defaultRowHeight="15" x14ac:dyDescent="0.25"/>
  <cols>
    <col min="4" max="4" width="14.42578125" customWidth="1"/>
    <col min="5" max="5" width="13.85546875" customWidth="1"/>
    <col min="6" max="6" width="14.5703125" customWidth="1"/>
    <col min="7" max="7" width="14.85546875" customWidth="1"/>
    <col min="8" max="8" width="18.7109375" customWidth="1"/>
  </cols>
  <sheetData>
    <row r="4" spans="4:8" ht="15.75" thickBot="1" x14ac:dyDescent="0.3"/>
    <row r="5" spans="4:8" ht="30" x14ac:dyDescent="0.25">
      <c r="D5" s="20" t="s">
        <v>3</v>
      </c>
      <c r="E5" s="8" t="s">
        <v>4</v>
      </c>
      <c r="F5" s="8" t="s">
        <v>6</v>
      </c>
      <c r="G5" s="8" t="s">
        <v>8</v>
      </c>
      <c r="H5" s="10" t="s">
        <v>9</v>
      </c>
    </row>
    <row r="6" spans="4:8" ht="15.75" thickBot="1" x14ac:dyDescent="0.3">
      <c r="D6" s="21"/>
      <c r="E6" s="9" t="s">
        <v>5</v>
      </c>
      <c r="F6" s="9" t="s">
        <v>7</v>
      </c>
      <c r="G6" s="9" t="s">
        <v>9</v>
      </c>
      <c r="H6" s="11" t="s">
        <v>7</v>
      </c>
    </row>
    <row r="7" spans="4:8" ht="30.75" thickBot="1" x14ac:dyDescent="0.3">
      <c r="D7" s="12">
        <v>2018</v>
      </c>
      <c r="E7" s="13" t="s">
        <v>10</v>
      </c>
      <c r="F7" s="13" t="s">
        <v>11</v>
      </c>
      <c r="G7" s="13" t="s">
        <v>10</v>
      </c>
      <c r="H7" s="14" t="s">
        <v>11</v>
      </c>
    </row>
    <row r="8" spans="4:8" ht="15.75" thickBot="1" x14ac:dyDescent="0.3">
      <c r="D8" s="15"/>
      <c r="E8" s="16"/>
      <c r="F8" s="16" t="s">
        <v>10</v>
      </c>
      <c r="G8" s="17"/>
      <c r="H8" s="18" t="s">
        <v>12</v>
      </c>
    </row>
    <row r="9" spans="4:8" ht="15.75" thickBot="1" x14ac:dyDescent="0.3">
      <c r="D9" s="12">
        <v>1</v>
      </c>
      <c r="E9" s="13">
        <v>2.68</v>
      </c>
      <c r="F9" s="13">
        <v>1.22</v>
      </c>
      <c r="G9" s="13">
        <v>1.29</v>
      </c>
      <c r="H9" s="14">
        <v>0.8</v>
      </c>
    </row>
    <row r="10" spans="4:8" ht="15.75" thickBot="1" x14ac:dyDescent="0.3">
      <c r="D10" s="19">
        <v>2</v>
      </c>
      <c r="E10" s="16">
        <v>2.83</v>
      </c>
      <c r="F10" s="16">
        <v>1.32</v>
      </c>
      <c r="G10" s="16">
        <v>1.33</v>
      </c>
      <c r="H10" s="18">
        <v>1.22</v>
      </c>
    </row>
    <row r="11" spans="4:8" ht="15.75" thickBot="1" x14ac:dyDescent="0.3">
      <c r="D11" s="12">
        <v>3</v>
      </c>
      <c r="E11" s="13">
        <v>3.93</v>
      </c>
      <c r="F11" s="13">
        <v>2.14</v>
      </c>
      <c r="G11" s="13">
        <v>2.67</v>
      </c>
      <c r="H11" s="14">
        <v>1.92</v>
      </c>
    </row>
    <row r="12" spans="4:8" ht="15.75" thickBot="1" x14ac:dyDescent="0.3">
      <c r="D12" s="19">
        <v>4</v>
      </c>
      <c r="E12" s="16">
        <v>5.14</v>
      </c>
      <c r="F12" s="16">
        <v>3.14</v>
      </c>
      <c r="G12" s="16">
        <v>5.85</v>
      </c>
      <c r="H12" s="18">
        <v>3.73</v>
      </c>
    </row>
    <row r="13" spans="4:8" ht="15.75" thickBot="1" x14ac:dyDescent="0.3">
      <c r="D13" s="12">
        <v>5</v>
      </c>
      <c r="E13" s="13">
        <v>6.74</v>
      </c>
      <c r="F13" s="13">
        <v>3.25</v>
      </c>
      <c r="G13" s="13">
        <v>7.92</v>
      </c>
      <c r="H13" s="14">
        <v>3.92</v>
      </c>
    </row>
    <row r="14" spans="4:8" ht="15.75" thickBot="1" x14ac:dyDescent="0.3">
      <c r="D14" s="19">
        <v>6</v>
      </c>
      <c r="E14" s="16">
        <v>8.15</v>
      </c>
      <c r="F14" s="16">
        <v>3.79</v>
      </c>
      <c r="G14" s="16">
        <v>7.88</v>
      </c>
      <c r="H14" s="18">
        <v>4.17</v>
      </c>
    </row>
    <row r="15" spans="4:8" ht="15.75" thickBot="1" x14ac:dyDescent="0.3">
      <c r="D15" s="12">
        <v>7</v>
      </c>
      <c r="E15" s="13">
        <v>8.3699999999999992</v>
      </c>
      <c r="F15" s="13">
        <v>4.13</v>
      </c>
      <c r="G15" s="13">
        <v>8.83</v>
      </c>
      <c r="H15" s="14">
        <v>3.93</v>
      </c>
    </row>
    <row r="16" spans="4:8" ht="15.75" thickBot="1" x14ac:dyDescent="0.3">
      <c r="D16" s="19">
        <v>8</v>
      </c>
      <c r="E16" s="16">
        <v>9.32</v>
      </c>
      <c r="F16" s="16">
        <v>5.23</v>
      </c>
      <c r="G16" s="16">
        <v>8.4499999999999993</v>
      </c>
      <c r="H16" s="18">
        <v>3.13</v>
      </c>
    </row>
  </sheetData>
  <mergeCells count="1">
    <mergeCell ref="D5:D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935AF-F4E2-425B-9731-9652B7B9D24F}">
  <dimension ref="D4:H65"/>
  <sheetViews>
    <sheetView topLeftCell="D1" zoomScale="140" zoomScaleNormal="140" workbookViewId="0">
      <selection activeCell="I20" sqref="I20"/>
    </sheetView>
  </sheetViews>
  <sheetFormatPr defaultRowHeight="15" x14ac:dyDescent="0.25"/>
  <sheetData>
    <row r="4" spans="4:8" ht="15.75" thickBot="1" x14ac:dyDescent="0.3"/>
    <row r="5" spans="4:8" ht="45" x14ac:dyDescent="0.25">
      <c r="D5" s="20" t="s">
        <v>3</v>
      </c>
      <c r="E5" s="8" t="s">
        <v>4</v>
      </c>
      <c r="F5" s="8" t="s">
        <v>6</v>
      </c>
      <c r="G5" s="8" t="s">
        <v>8</v>
      </c>
      <c r="H5" s="10" t="s">
        <v>9</v>
      </c>
    </row>
    <row r="6" spans="4:8" ht="30.75" thickBot="1" x14ac:dyDescent="0.3">
      <c r="D6" s="21"/>
      <c r="E6" s="9" t="s">
        <v>5</v>
      </c>
      <c r="F6" s="9" t="s">
        <v>7</v>
      </c>
      <c r="G6" s="9" t="s">
        <v>9</v>
      </c>
      <c r="H6" s="11" t="s">
        <v>7</v>
      </c>
    </row>
    <row r="7" spans="4:8" ht="30.75" thickBot="1" x14ac:dyDescent="0.3">
      <c r="D7" s="12">
        <v>2018</v>
      </c>
      <c r="E7" s="13" t="s">
        <v>10</v>
      </c>
      <c r="F7" s="13" t="s">
        <v>11</v>
      </c>
      <c r="G7" s="13" t="s">
        <v>10</v>
      </c>
      <c r="H7" s="14" t="s">
        <v>11</v>
      </c>
    </row>
    <row r="8" spans="4:8" ht="15.75" thickBot="1" x14ac:dyDescent="0.3">
      <c r="D8" s="15"/>
      <c r="E8" s="16"/>
      <c r="F8" s="16" t="s">
        <v>10</v>
      </c>
      <c r="G8" s="17"/>
      <c r="H8" s="18" t="s">
        <v>12</v>
      </c>
    </row>
    <row r="9" spans="4:8" ht="15.75" thickBot="1" x14ac:dyDescent="0.3">
      <c r="D9" s="12">
        <v>1</v>
      </c>
      <c r="E9" s="13">
        <v>2.68</v>
      </c>
      <c r="F9" s="13">
        <v>1.22</v>
      </c>
      <c r="G9" s="13">
        <v>1.29</v>
      </c>
      <c r="H9" s="14">
        <v>0.8</v>
      </c>
    </row>
    <row r="10" spans="4:8" ht="15.75" thickBot="1" x14ac:dyDescent="0.3">
      <c r="D10" s="19">
        <v>2</v>
      </c>
      <c r="E10" s="16">
        <v>2.83</v>
      </c>
      <c r="F10" s="16">
        <v>1.32</v>
      </c>
      <c r="G10" s="16">
        <v>1.33</v>
      </c>
      <c r="H10" s="18">
        <v>1.22</v>
      </c>
    </row>
    <row r="11" spans="4:8" ht="15.75" thickBot="1" x14ac:dyDescent="0.3">
      <c r="D11" s="12">
        <v>3</v>
      </c>
      <c r="E11" s="13">
        <v>3.93</v>
      </c>
      <c r="F11" s="13">
        <v>2.14</v>
      </c>
      <c r="G11" s="13">
        <v>2.67</v>
      </c>
      <c r="H11" s="14">
        <v>1.92</v>
      </c>
    </row>
    <row r="12" spans="4:8" ht="15.75" thickBot="1" x14ac:dyDescent="0.3">
      <c r="D12" s="19">
        <v>4</v>
      </c>
      <c r="E12" s="16">
        <v>5.14</v>
      </c>
      <c r="F12" s="16">
        <v>3.14</v>
      </c>
      <c r="G12" s="16">
        <v>5.85</v>
      </c>
      <c r="H12" s="18">
        <v>3.73</v>
      </c>
    </row>
    <row r="13" spans="4:8" ht="15.75" thickBot="1" x14ac:dyDescent="0.3">
      <c r="D13" s="12">
        <v>5</v>
      </c>
      <c r="E13" s="13">
        <v>6.74</v>
      </c>
      <c r="F13" s="13">
        <v>3.25</v>
      </c>
      <c r="G13" s="13">
        <v>7.92</v>
      </c>
      <c r="H13" s="14">
        <v>3.92</v>
      </c>
    </row>
    <row r="14" spans="4:8" ht="15.75" thickBot="1" x14ac:dyDescent="0.3">
      <c r="D14" s="19">
        <v>6</v>
      </c>
      <c r="E14" s="16">
        <v>8.15</v>
      </c>
      <c r="F14" s="16">
        <v>3.79</v>
      </c>
      <c r="G14" s="16">
        <v>7.88</v>
      </c>
      <c r="H14" s="18">
        <v>4.17</v>
      </c>
    </row>
    <row r="15" spans="4:8" ht="15.75" thickBot="1" x14ac:dyDescent="0.3">
      <c r="D15" s="12">
        <v>7</v>
      </c>
      <c r="E15" s="13">
        <v>8.3699999999999992</v>
      </c>
      <c r="F15" s="13">
        <v>4.13</v>
      </c>
      <c r="G15" s="13">
        <v>8.83</v>
      </c>
      <c r="H15" s="14">
        <v>3.93</v>
      </c>
    </row>
    <row r="16" spans="4:8" ht="15.75" thickBot="1" x14ac:dyDescent="0.3">
      <c r="D16" s="19">
        <v>8</v>
      </c>
      <c r="E16" s="16">
        <v>9.32</v>
      </c>
      <c r="F16" s="16">
        <v>5.23</v>
      </c>
      <c r="G16" s="16">
        <v>8.4499999999999993</v>
      </c>
      <c r="H16" s="18">
        <v>3.13</v>
      </c>
    </row>
    <row r="20" spans="4:8" x14ac:dyDescent="0.25">
      <c r="D20">
        <f>LN(9.32)</f>
        <v>2.2321626286975</v>
      </c>
      <c r="F20">
        <f>(2.7309*D20)-1.5449</f>
        <v>4.5509129227100029</v>
      </c>
    </row>
    <row r="22" spans="4:8" x14ac:dyDescent="0.25">
      <c r="D22">
        <f>LN(8.37)</f>
        <v>2.124653884501384</v>
      </c>
      <c r="F22">
        <f>(2.7309*D22)-1.5449</f>
        <v>4.2573172931848298</v>
      </c>
    </row>
    <row r="24" spans="4:8" x14ac:dyDescent="0.25">
      <c r="D24">
        <f>LN(8.15)</f>
        <v>2.0980179272527715</v>
      </c>
      <c r="F24">
        <f>(2.7309*D24)-1.5449</f>
        <v>4.1845771575345934</v>
      </c>
    </row>
    <row r="26" spans="4:8" ht="15.75" thickBot="1" x14ac:dyDescent="0.3"/>
    <row r="27" spans="4:8" ht="45" x14ac:dyDescent="0.25">
      <c r="D27" s="20" t="s">
        <v>3</v>
      </c>
      <c r="E27" s="8" t="s">
        <v>4</v>
      </c>
      <c r="F27" s="8" t="s">
        <v>6</v>
      </c>
      <c r="G27" s="8" t="s">
        <v>8</v>
      </c>
      <c r="H27" s="10" t="s">
        <v>9</v>
      </c>
    </row>
    <row r="28" spans="4:8" ht="30.75" thickBot="1" x14ac:dyDescent="0.3">
      <c r="D28" s="21"/>
      <c r="E28" s="9" t="s">
        <v>5</v>
      </c>
      <c r="F28" s="9" t="s">
        <v>7</v>
      </c>
      <c r="G28" s="9" t="s">
        <v>9</v>
      </c>
      <c r="H28" s="11" t="s">
        <v>7</v>
      </c>
    </row>
    <row r="29" spans="4:8" ht="30.75" thickBot="1" x14ac:dyDescent="0.3">
      <c r="D29" s="12">
        <v>2018</v>
      </c>
      <c r="E29" s="13" t="s">
        <v>10</v>
      </c>
      <c r="F29" s="13" t="s">
        <v>11</v>
      </c>
      <c r="G29" s="13" t="s">
        <v>10</v>
      </c>
      <c r="H29" s="14" t="s">
        <v>11</v>
      </c>
    </row>
    <row r="30" spans="4:8" ht="15.75" thickBot="1" x14ac:dyDescent="0.3">
      <c r="D30" s="15"/>
      <c r="E30" s="16"/>
      <c r="F30" s="16" t="s">
        <v>10</v>
      </c>
      <c r="G30" s="17"/>
      <c r="H30" s="18" t="s">
        <v>12</v>
      </c>
    </row>
    <row r="31" spans="4:8" ht="15.75" thickBot="1" x14ac:dyDescent="0.3">
      <c r="D31" s="12">
        <v>1</v>
      </c>
      <c r="E31" s="13">
        <v>2.68</v>
      </c>
      <c r="F31" s="13">
        <v>1.22</v>
      </c>
      <c r="G31" s="13">
        <v>1.29</v>
      </c>
      <c r="H31" s="14">
        <v>0.8</v>
      </c>
    </row>
    <row r="32" spans="4:8" ht="15.75" thickBot="1" x14ac:dyDescent="0.3">
      <c r="D32" s="19">
        <v>2</v>
      </c>
      <c r="E32" s="16">
        <v>2.83</v>
      </c>
      <c r="F32" s="16">
        <v>1.32</v>
      </c>
      <c r="G32" s="16">
        <v>1.33</v>
      </c>
      <c r="H32" s="18">
        <v>1.22</v>
      </c>
    </row>
    <row r="33" spans="4:8" ht="15.75" thickBot="1" x14ac:dyDescent="0.3">
      <c r="D33" s="12">
        <v>3</v>
      </c>
      <c r="E33" s="13">
        <v>3.93</v>
      </c>
      <c r="F33" s="13">
        <v>2.14</v>
      </c>
      <c r="G33" s="13">
        <v>2.67</v>
      </c>
      <c r="H33" s="14">
        <v>1.92</v>
      </c>
    </row>
    <row r="34" spans="4:8" ht="15.75" thickBot="1" x14ac:dyDescent="0.3">
      <c r="D34" s="19">
        <v>4</v>
      </c>
      <c r="E34" s="16">
        <v>5.14</v>
      </c>
      <c r="F34" s="16">
        <v>3.14</v>
      </c>
      <c r="G34" s="16">
        <v>5.85</v>
      </c>
      <c r="H34" s="18">
        <v>3.73</v>
      </c>
    </row>
    <row r="35" spans="4:8" ht="15.75" thickBot="1" x14ac:dyDescent="0.3">
      <c r="D35" s="12">
        <v>5</v>
      </c>
      <c r="E35" s="13">
        <v>6.74</v>
      </c>
      <c r="F35" s="13">
        <v>3.25</v>
      </c>
      <c r="G35" s="13">
        <v>7.92</v>
      </c>
      <c r="H35" s="14">
        <v>3.92</v>
      </c>
    </row>
    <row r="36" spans="4:8" ht="15.75" thickBot="1" x14ac:dyDescent="0.3">
      <c r="D36" s="19">
        <v>6</v>
      </c>
      <c r="E36" s="16">
        <v>8.15</v>
      </c>
      <c r="F36" s="16">
        <v>3.79</v>
      </c>
      <c r="G36" s="16">
        <v>7.88</v>
      </c>
      <c r="H36" s="18">
        <v>4.17</v>
      </c>
    </row>
    <row r="37" spans="4:8" ht="15.75" thickBot="1" x14ac:dyDescent="0.3">
      <c r="D37" s="12">
        <v>7</v>
      </c>
      <c r="E37" s="13">
        <v>8.3699999999999992</v>
      </c>
      <c r="F37" s="13">
        <v>4.13</v>
      </c>
      <c r="G37" s="13">
        <v>8.83</v>
      </c>
      <c r="H37" s="14">
        <v>3.93</v>
      </c>
    </row>
    <row r="38" spans="4:8" ht="15.75" thickBot="1" x14ac:dyDescent="0.3">
      <c r="D38" s="19">
        <v>8</v>
      </c>
      <c r="E38" s="16">
        <v>9.32</v>
      </c>
      <c r="F38" s="16">
        <v>5.23</v>
      </c>
      <c r="G38" s="16">
        <v>8.4499999999999993</v>
      </c>
      <c r="H38" s="18">
        <v>3.13</v>
      </c>
    </row>
    <row r="41" spans="4:8" x14ac:dyDescent="0.25">
      <c r="E41">
        <f>9.32^2</f>
        <v>86.862400000000008</v>
      </c>
      <c r="F41">
        <f>(((-0.0007*E41)+(0.5287*E38)-0.0603))</f>
        <v>4.8063803199999997</v>
      </c>
    </row>
    <row r="42" spans="4:8" x14ac:dyDescent="0.25">
      <c r="E42">
        <f>8.37^2</f>
        <v>70.056899999999985</v>
      </c>
      <c r="F42">
        <f>(((-0.0007*E42)+(0.5287*E37)-0.0603))</f>
        <v>4.3158791699999997</v>
      </c>
    </row>
    <row r="43" spans="4:8" x14ac:dyDescent="0.25">
      <c r="E43">
        <f>8.15^2</f>
        <v>66.422499999999999</v>
      </c>
      <c r="F43">
        <f>(((-0.0007*E43)+(0.5287*E36)-0.0603))</f>
        <v>4.2021092499999995</v>
      </c>
    </row>
    <row r="48" spans="4:8" ht="15.75" thickBot="1" x14ac:dyDescent="0.3"/>
    <row r="49" spans="4:8" ht="45" x14ac:dyDescent="0.25">
      <c r="D49" s="20" t="s">
        <v>3</v>
      </c>
      <c r="E49" s="8" t="s">
        <v>4</v>
      </c>
      <c r="F49" s="8" t="s">
        <v>6</v>
      </c>
      <c r="G49" s="8" t="s">
        <v>8</v>
      </c>
      <c r="H49" s="10" t="s">
        <v>9</v>
      </c>
    </row>
    <row r="50" spans="4:8" ht="30.75" thickBot="1" x14ac:dyDescent="0.3">
      <c r="D50" s="21"/>
      <c r="E50" s="9" t="s">
        <v>5</v>
      </c>
      <c r="F50" s="9" t="s">
        <v>7</v>
      </c>
      <c r="G50" s="9" t="s">
        <v>9</v>
      </c>
      <c r="H50" s="11" t="s">
        <v>7</v>
      </c>
    </row>
    <row r="51" spans="4:8" ht="30.75" thickBot="1" x14ac:dyDescent="0.3">
      <c r="D51" s="12">
        <v>2018</v>
      </c>
      <c r="E51" s="13" t="s">
        <v>10</v>
      </c>
      <c r="F51" s="13" t="s">
        <v>11</v>
      </c>
      <c r="G51" s="13" t="s">
        <v>10</v>
      </c>
      <c r="H51" s="14" t="s">
        <v>11</v>
      </c>
    </row>
    <row r="52" spans="4:8" ht="15.75" thickBot="1" x14ac:dyDescent="0.3">
      <c r="D52" s="15"/>
      <c r="E52" s="16"/>
      <c r="F52" s="16" t="s">
        <v>10</v>
      </c>
      <c r="G52" s="17"/>
      <c r="H52" s="18" t="s">
        <v>12</v>
      </c>
    </row>
    <row r="53" spans="4:8" ht="15.75" thickBot="1" x14ac:dyDescent="0.3">
      <c r="D53" s="12">
        <v>1</v>
      </c>
      <c r="E53" s="13">
        <v>2.68</v>
      </c>
      <c r="F53" s="13">
        <v>1.22</v>
      </c>
      <c r="G53" s="13">
        <v>1.29</v>
      </c>
      <c r="H53" s="14">
        <v>0.8</v>
      </c>
    </row>
    <row r="54" spans="4:8" ht="15.75" thickBot="1" x14ac:dyDescent="0.3">
      <c r="D54" s="19">
        <v>2</v>
      </c>
      <c r="E54" s="16">
        <v>2.83</v>
      </c>
      <c r="F54" s="16">
        <v>1.32</v>
      </c>
      <c r="G54" s="16">
        <v>1.33</v>
      </c>
      <c r="H54" s="18">
        <v>1.22</v>
      </c>
    </row>
    <row r="55" spans="4:8" ht="15.75" thickBot="1" x14ac:dyDescent="0.3">
      <c r="D55" s="12">
        <v>3</v>
      </c>
      <c r="E55" s="13">
        <v>3.93</v>
      </c>
      <c r="F55" s="13">
        <v>2.14</v>
      </c>
      <c r="G55" s="13">
        <v>2.67</v>
      </c>
      <c r="H55" s="14">
        <v>1.92</v>
      </c>
    </row>
    <row r="56" spans="4:8" ht="15.75" thickBot="1" x14ac:dyDescent="0.3">
      <c r="D56" s="19">
        <v>4</v>
      </c>
      <c r="E56" s="16">
        <v>5.14</v>
      </c>
      <c r="F56" s="16">
        <v>3.14</v>
      </c>
      <c r="G56" s="16">
        <v>5.85</v>
      </c>
      <c r="H56" s="18">
        <v>3.73</v>
      </c>
    </row>
    <row r="57" spans="4:8" ht="15.75" thickBot="1" x14ac:dyDescent="0.3">
      <c r="D57" s="12">
        <v>5</v>
      </c>
      <c r="E57" s="13">
        <v>6.74</v>
      </c>
      <c r="F57" s="13">
        <v>3.25</v>
      </c>
      <c r="G57" s="13">
        <v>7.92</v>
      </c>
      <c r="H57" s="14">
        <v>3.92</v>
      </c>
    </row>
    <row r="58" spans="4:8" ht="15.75" thickBot="1" x14ac:dyDescent="0.3">
      <c r="D58" s="19">
        <v>6</v>
      </c>
      <c r="E58" s="16">
        <v>8.15</v>
      </c>
      <c r="F58" s="16">
        <v>3.79</v>
      </c>
      <c r="G58" s="16">
        <v>7.88</v>
      </c>
      <c r="H58" s="18">
        <v>4.17</v>
      </c>
    </row>
    <row r="59" spans="4:8" ht="15.75" thickBot="1" x14ac:dyDescent="0.3">
      <c r="D59" s="12">
        <v>7</v>
      </c>
      <c r="E59" s="13">
        <v>8.3699999999999992</v>
      </c>
      <c r="F59" s="13">
        <v>4.13</v>
      </c>
      <c r="G59" s="13">
        <v>8.83</v>
      </c>
      <c r="H59" s="14">
        <v>3.93</v>
      </c>
    </row>
    <row r="60" spans="4:8" ht="15.75" thickBot="1" x14ac:dyDescent="0.3">
      <c r="D60" s="19">
        <v>8</v>
      </c>
      <c r="E60" s="16">
        <v>9.32</v>
      </c>
      <c r="F60" s="16">
        <v>5.23</v>
      </c>
      <c r="G60" s="16">
        <v>8.4499999999999993</v>
      </c>
      <c r="H60" s="18">
        <v>3.13</v>
      </c>
    </row>
    <row r="63" spans="4:8" x14ac:dyDescent="0.25">
      <c r="E63">
        <f>(0.1951*9.32)</f>
        <v>1.8183320000000001</v>
      </c>
      <c r="F63">
        <f>EXP(1.81833)</f>
        <v>6.1615600478313954</v>
      </c>
      <c r="G63">
        <f>(0.857*6.16156)</f>
        <v>5.2804569199999998</v>
      </c>
    </row>
    <row r="64" spans="4:8" x14ac:dyDescent="0.25">
      <c r="E64">
        <f>(0.1951*8.37)</f>
        <v>1.6329869999999997</v>
      </c>
      <c r="F64">
        <f>EXP(1.63299)</f>
        <v>5.1191581412758698</v>
      </c>
      <c r="G64">
        <f>(0.857*5.11916)</f>
        <v>4.3871201199999996</v>
      </c>
    </row>
    <row r="65" spans="5:7" x14ac:dyDescent="0.25">
      <c r="E65">
        <f>(0.1951*5.14)</f>
        <v>1.0028139999999999</v>
      </c>
      <c r="F65">
        <f>EXP(1.00281)</f>
        <v>2.7259309423688785</v>
      </c>
      <c r="G65">
        <f>(0.857*2.72593)</f>
        <v>2.33612201</v>
      </c>
    </row>
  </sheetData>
  <mergeCells count="3">
    <mergeCell ref="D5:D6"/>
    <mergeCell ref="D27:D28"/>
    <mergeCell ref="D49:D50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ECEF-37E1-4A71-879F-353ADD1C882B}">
  <dimension ref="D4:H66"/>
  <sheetViews>
    <sheetView workbookViewId="0">
      <selection activeCell="L73" sqref="L73"/>
    </sheetView>
  </sheetViews>
  <sheetFormatPr defaultRowHeight="15" x14ac:dyDescent="0.25"/>
  <cols>
    <col min="6" max="6" width="9.42578125" bestFit="1" customWidth="1"/>
  </cols>
  <sheetData>
    <row r="4" spans="4:8" ht="15.75" thickBot="1" x14ac:dyDescent="0.3"/>
    <row r="5" spans="4:8" ht="45" x14ac:dyDescent="0.25">
      <c r="D5" s="20" t="s">
        <v>3</v>
      </c>
      <c r="E5" s="8" t="s">
        <v>4</v>
      </c>
      <c r="F5" s="8" t="s">
        <v>6</v>
      </c>
      <c r="G5" s="8" t="s">
        <v>8</v>
      </c>
      <c r="H5" s="10" t="s">
        <v>9</v>
      </c>
    </row>
    <row r="6" spans="4:8" ht="30.75" thickBot="1" x14ac:dyDescent="0.3">
      <c r="D6" s="21"/>
      <c r="E6" s="9" t="s">
        <v>5</v>
      </c>
      <c r="F6" s="9" t="s">
        <v>7</v>
      </c>
      <c r="G6" s="9" t="s">
        <v>9</v>
      </c>
      <c r="H6" s="11" t="s">
        <v>7</v>
      </c>
    </row>
    <row r="7" spans="4:8" ht="30.75" thickBot="1" x14ac:dyDescent="0.3">
      <c r="D7" s="12">
        <v>2018</v>
      </c>
      <c r="E7" s="13" t="s">
        <v>10</v>
      </c>
      <c r="F7" s="13" t="s">
        <v>11</v>
      </c>
      <c r="G7" s="13" t="s">
        <v>10</v>
      </c>
      <c r="H7" s="14" t="s">
        <v>11</v>
      </c>
    </row>
    <row r="8" spans="4:8" ht="15.75" thickBot="1" x14ac:dyDescent="0.3">
      <c r="D8" s="15"/>
      <c r="E8" s="16"/>
      <c r="F8" s="16" t="s">
        <v>10</v>
      </c>
      <c r="G8" s="17"/>
      <c r="H8" s="18" t="s">
        <v>12</v>
      </c>
    </row>
    <row r="9" spans="4:8" ht="15.75" thickBot="1" x14ac:dyDescent="0.3">
      <c r="D9" s="12">
        <v>1</v>
      </c>
      <c r="E9" s="13">
        <v>2.68</v>
      </c>
      <c r="F9" s="13">
        <v>1.22</v>
      </c>
      <c r="G9" s="13">
        <v>1.29</v>
      </c>
      <c r="H9" s="14">
        <v>0.8</v>
      </c>
    </row>
    <row r="10" spans="4:8" ht="15.75" thickBot="1" x14ac:dyDescent="0.3">
      <c r="D10" s="19">
        <v>2</v>
      </c>
      <c r="E10" s="16">
        <v>2.83</v>
      </c>
      <c r="F10" s="16">
        <v>1.32</v>
      </c>
      <c r="G10" s="16">
        <v>1.33</v>
      </c>
      <c r="H10" s="18">
        <v>1.22</v>
      </c>
    </row>
    <row r="11" spans="4:8" ht="15.75" thickBot="1" x14ac:dyDescent="0.3">
      <c r="D11" s="12">
        <v>3</v>
      </c>
      <c r="E11" s="13">
        <v>3.93</v>
      </c>
      <c r="F11" s="13">
        <v>2.14</v>
      </c>
      <c r="G11" s="13">
        <v>2.67</v>
      </c>
      <c r="H11" s="14">
        <v>1.92</v>
      </c>
    </row>
    <row r="12" spans="4:8" ht="15.75" thickBot="1" x14ac:dyDescent="0.3">
      <c r="D12" s="19">
        <v>4</v>
      </c>
      <c r="E12" s="16">
        <v>5.14</v>
      </c>
      <c r="F12" s="16">
        <v>3.14</v>
      </c>
      <c r="G12" s="16">
        <v>5.85</v>
      </c>
      <c r="H12" s="18">
        <v>3.73</v>
      </c>
    </row>
    <row r="13" spans="4:8" ht="15.75" thickBot="1" x14ac:dyDescent="0.3">
      <c r="D13" s="12">
        <v>5</v>
      </c>
      <c r="E13" s="13">
        <v>6.74</v>
      </c>
      <c r="F13" s="13">
        <v>3.25</v>
      </c>
      <c r="G13" s="13">
        <v>7.92</v>
      </c>
      <c r="H13" s="14">
        <v>3.92</v>
      </c>
    </row>
    <row r="14" spans="4:8" ht="15.75" thickBot="1" x14ac:dyDescent="0.3">
      <c r="D14" s="19">
        <v>6</v>
      </c>
      <c r="E14" s="16">
        <v>8.15</v>
      </c>
      <c r="F14" s="16">
        <v>3.79</v>
      </c>
      <c r="G14" s="16">
        <v>7.88</v>
      </c>
      <c r="H14" s="18">
        <v>4.17</v>
      </c>
    </row>
    <row r="15" spans="4:8" ht="15.75" thickBot="1" x14ac:dyDescent="0.3">
      <c r="D15" s="12">
        <v>7</v>
      </c>
      <c r="E15" s="13">
        <v>8.3699999999999992</v>
      </c>
      <c r="F15" s="13">
        <v>4.13</v>
      </c>
      <c r="G15" s="13">
        <v>8.83</v>
      </c>
      <c r="H15" s="14">
        <v>3.93</v>
      </c>
    </row>
    <row r="16" spans="4:8" ht="15.75" thickBot="1" x14ac:dyDescent="0.3">
      <c r="D16" s="19">
        <v>8</v>
      </c>
      <c r="E16" s="16">
        <v>9.32</v>
      </c>
      <c r="F16" s="16">
        <v>5.23</v>
      </c>
      <c r="G16" s="16">
        <v>8.4499999999999993</v>
      </c>
      <c r="H16" s="18">
        <v>3.13</v>
      </c>
    </row>
    <row r="19" spans="4:8" x14ac:dyDescent="0.25">
      <c r="E19">
        <f>8.45^2</f>
        <v>71.402499999999989</v>
      </c>
      <c r="F19">
        <f>(((-0.0795*71.4025)+(1.1698*8.45)-0.4449))</f>
        <v>3.7634112499999977</v>
      </c>
    </row>
    <row r="20" spans="4:8" x14ac:dyDescent="0.25">
      <c r="E20">
        <f>8.83^2</f>
        <v>77.968900000000005</v>
      </c>
      <c r="F20">
        <f>(((-0.07952*77.9689)+(1.1698*8.83)-0.4449))</f>
        <v>3.6843470719999991</v>
      </c>
    </row>
    <row r="21" spans="4:8" x14ac:dyDescent="0.25">
      <c r="E21">
        <f>7.88^2</f>
        <v>62.0944</v>
      </c>
      <c r="F21">
        <f>(((-0.0795*62.0944)+(1.1698*7.88)-0.4449))</f>
        <v>3.8366191999999999</v>
      </c>
    </row>
    <row r="22" spans="4:8" x14ac:dyDescent="0.25">
      <c r="E22">
        <f>7.92^2</f>
        <v>62.726399999999998</v>
      </c>
      <c r="F22">
        <f>(((-0.0795*62.7264)+(1.1698*7.92)-0.4449))</f>
        <v>3.8331671999999997</v>
      </c>
    </row>
    <row r="23" spans="4:8" x14ac:dyDescent="0.25">
      <c r="E23">
        <f>5.85^2</f>
        <v>34.222499999999997</v>
      </c>
      <c r="F23">
        <f>(((-0.0795*34.2225)+(1.1698*5.85)-0.4449))</f>
        <v>3.6777412499999991</v>
      </c>
    </row>
    <row r="26" spans="4:8" ht="15.75" thickBot="1" x14ac:dyDescent="0.3"/>
    <row r="27" spans="4:8" ht="45" x14ac:dyDescent="0.25">
      <c r="D27" s="20" t="s">
        <v>3</v>
      </c>
      <c r="E27" s="8" t="s">
        <v>4</v>
      </c>
      <c r="F27" s="8" t="s">
        <v>6</v>
      </c>
      <c r="G27" s="8" t="s">
        <v>8</v>
      </c>
      <c r="H27" s="10" t="s">
        <v>9</v>
      </c>
    </row>
    <row r="28" spans="4:8" ht="30.75" thickBot="1" x14ac:dyDescent="0.3">
      <c r="D28" s="21"/>
      <c r="E28" s="9" t="s">
        <v>5</v>
      </c>
      <c r="F28" s="9" t="s">
        <v>7</v>
      </c>
      <c r="G28" s="9" t="s">
        <v>9</v>
      </c>
      <c r="H28" s="11" t="s">
        <v>7</v>
      </c>
    </row>
    <row r="29" spans="4:8" ht="30.75" thickBot="1" x14ac:dyDescent="0.3">
      <c r="D29" s="12">
        <v>2018</v>
      </c>
      <c r="E29" s="13" t="s">
        <v>10</v>
      </c>
      <c r="F29" s="13" t="s">
        <v>11</v>
      </c>
      <c r="G29" s="13" t="s">
        <v>10</v>
      </c>
      <c r="H29" s="14" t="s">
        <v>11</v>
      </c>
    </row>
    <row r="30" spans="4:8" ht="15.75" thickBot="1" x14ac:dyDescent="0.3">
      <c r="D30" s="15"/>
      <c r="E30" s="16"/>
      <c r="F30" s="16" t="s">
        <v>10</v>
      </c>
      <c r="G30" s="17"/>
      <c r="H30" s="18" t="s">
        <v>12</v>
      </c>
    </row>
    <row r="31" spans="4:8" ht="15.75" thickBot="1" x14ac:dyDescent="0.3">
      <c r="D31" s="12">
        <v>1</v>
      </c>
      <c r="E31" s="13">
        <v>2.68</v>
      </c>
      <c r="F31" s="13">
        <v>1.22</v>
      </c>
      <c r="G31" s="13">
        <v>1.29</v>
      </c>
      <c r="H31" s="14">
        <v>0.8</v>
      </c>
    </row>
    <row r="32" spans="4:8" ht="15.75" thickBot="1" x14ac:dyDescent="0.3">
      <c r="D32" s="19">
        <v>2</v>
      </c>
      <c r="E32" s="16">
        <v>2.83</v>
      </c>
      <c r="F32" s="16">
        <v>1.32</v>
      </c>
      <c r="G32" s="16">
        <v>1.33</v>
      </c>
      <c r="H32" s="18">
        <v>1.22</v>
      </c>
    </row>
    <row r="33" spans="4:8" ht="15.75" thickBot="1" x14ac:dyDescent="0.3">
      <c r="D33" s="12">
        <v>3</v>
      </c>
      <c r="E33" s="13">
        <v>3.93</v>
      </c>
      <c r="F33" s="13">
        <v>2.14</v>
      </c>
      <c r="G33" s="13">
        <v>2.67</v>
      </c>
      <c r="H33" s="14">
        <v>1.92</v>
      </c>
    </row>
    <row r="34" spans="4:8" ht="15.75" thickBot="1" x14ac:dyDescent="0.3">
      <c r="D34" s="19">
        <v>4</v>
      </c>
      <c r="E34" s="16">
        <v>5.14</v>
      </c>
      <c r="F34" s="16">
        <v>3.14</v>
      </c>
      <c r="G34" s="16">
        <v>5.85</v>
      </c>
      <c r="H34" s="18">
        <v>3.73</v>
      </c>
    </row>
    <row r="35" spans="4:8" ht="15.75" thickBot="1" x14ac:dyDescent="0.3">
      <c r="D35" s="12">
        <v>5</v>
      </c>
      <c r="E35" s="13">
        <v>6.74</v>
      </c>
      <c r="F35" s="13">
        <v>3.25</v>
      </c>
      <c r="G35" s="13">
        <v>7.92</v>
      </c>
      <c r="H35" s="14">
        <v>3.92</v>
      </c>
    </row>
    <row r="36" spans="4:8" ht="15.75" thickBot="1" x14ac:dyDescent="0.3">
      <c r="D36" s="19">
        <v>6</v>
      </c>
      <c r="E36" s="16">
        <v>8.15</v>
      </c>
      <c r="F36" s="16">
        <v>3.79</v>
      </c>
      <c r="G36" s="16">
        <v>7.88</v>
      </c>
      <c r="H36" s="18">
        <v>4.17</v>
      </c>
    </row>
    <row r="37" spans="4:8" ht="15.75" thickBot="1" x14ac:dyDescent="0.3">
      <c r="D37" s="12">
        <v>7</v>
      </c>
      <c r="E37" s="13">
        <v>8.3699999999999992</v>
      </c>
      <c r="F37" s="13">
        <v>4.13</v>
      </c>
      <c r="G37" s="13">
        <v>8.83</v>
      </c>
      <c r="H37" s="14">
        <v>3.93</v>
      </c>
    </row>
    <row r="38" spans="4:8" ht="15.75" thickBot="1" x14ac:dyDescent="0.3">
      <c r="D38" s="19">
        <v>8</v>
      </c>
      <c r="E38" s="16">
        <v>9.32</v>
      </c>
      <c r="F38" s="16">
        <v>5.23</v>
      </c>
      <c r="G38" s="16">
        <v>8.4499999999999993</v>
      </c>
      <c r="H38" s="18">
        <v>3.13</v>
      </c>
    </row>
    <row r="41" spans="4:8" x14ac:dyDescent="0.25">
      <c r="D41">
        <f>LN(8.45)</f>
        <v>2.1341664413690822</v>
      </c>
      <c r="E41">
        <f>(1.5455*2.134166)+0.5855</f>
        <v>3.8838535530000002</v>
      </c>
    </row>
    <row r="42" spans="4:8" x14ac:dyDescent="0.25">
      <c r="D42">
        <f>LN(8.83)</f>
        <v>2.1781550146158688</v>
      </c>
      <c r="E42">
        <f>(1.5455*2.178155)+0.5855</f>
        <v>3.9518385524999999</v>
      </c>
    </row>
    <row r="43" spans="4:8" x14ac:dyDescent="0.25">
      <c r="D43">
        <f>LN(7.88)</f>
        <v>2.0643279038697879</v>
      </c>
      <c r="E43">
        <f>(1.5455*2.064328)+0.5855</f>
        <v>3.7759189240000004</v>
      </c>
    </row>
    <row r="48" spans="4:8" ht="15.75" thickBot="1" x14ac:dyDescent="0.3"/>
    <row r="49" spans="4:8" ht="45" x14ac:dyDescent="0.25">
      <c r="D49" s="20" t="s">
        <v>3</v>
      </c>
      <c r="E49" s="8" t="s">
        <v>4</v>
      </c>
      <c r="F49" s="8" t="s">
        <v>6</v>
      </c>
      <c r="G49" s="8" t="s">
        <v>8</v>
      </c>
      <c r="H49" s="10" t="s">
        <v>9</v>
      </c>
    </row>
    <row r="50" spans="4:8" ht="30.75" thickBot="1" x14ac:dyDescent="0.3">
      <c r="D50" s="21"/>
      <c r="E50" s="9" t="s">
        <v>5</v>
      </c>
      <c r="F50" s="9" t="s">
        <v>7</v>
      </c>
      <c r="G50" s="9" t="s">
        <v>9</v>
      </c>
      <c r="H50" s="11" t="s">
        <v>7</v>
      </c>
    </row>
    <row r="51" spans="4:8" ht="30.75" thickBot="1" x14ac:dyDescent="0.3">
      <c r="D51" s="12">
        <v>2018</v>
      </c>
      <c r="E51" s="13" t="s">
        <v>10</v>
      </c>
      <c r="F51" s="13" t="s">
        <v>11</v>
      </c>
      <c r="G51" s="13" t="s">
        <v>10</v>
      </c>
      <c r="H51" s="14" t="s">
        <v>11</v>
      </c>
    </row>
    <row r="52" spans="4:8" ht="15.75" thickBot="1" x14ac:dyDescent="0.3">
      <c r="D52" s="15"/>
      <c r="E52" s="16"/>
      <c r="F52" s="16" t="s">
        <v>10</v>
      </c>
      <c r="G52" s="17"/>
      <c r="H52" s="18" t="s">
        <v>12</v>
      </c>
    </row>
    <row r="53" spans="4:8" ht="15.75" thickBot="1" x14ac:dyDescent="0.3">
      <c r="D53" s="12">
        <v>1</v>
      </c>
      <c r="E53" s="13">
        <v>2.68</v>
      </c>
      <c r="F53" s="13">
        <v>1.22</v>
      </c>
      <c r="G53" s="13">
        <v>1.29</v>
      </c>
      <c r="H53" s="14">
        <v>0.8</v>
      </c>
    </row>
    <row r="54" spans="4:8" ht="15.75" thickBot="1" x14ac:dyDescent="0.3">
      <c r="D54" s="19">
        <v>2</v>
      </c>
      <c r="E54" s="16">
        <v>2.83</v>
      </c>
      <c r="F54" s="16">
        <v>1.32</v>
      </c>
      <c r="G54" s="16">
        <v>1.33</v>
      </c>
      <c r="H54" s="18">
        <v>1.22</v>
      </c>
    </row>
    <row r="55" spans="4:8" ht="15.75" thickBot="1" x14ac:dyDescent="0.3">
      <c r="D55" s="12">
        <v>3</v>
      </c>
      <c r="E55" s="13">
        <v>3.93</v>
      </c>
      <c r="F55" s="13">
        <v>2.14</v>
      </c>
      <c r="G55" s="13">
        <v>2.67</v>
      </c>
      <c r="H55" s="14">
        <v>1.92</v>
      </c>
    </row>
    <row r="56" spans="4:8" ht="15.75" thickBot="1" x14ac:dyDescent="0.3">
      <c r="D56" s="19">
        <v>4</v>
      </c>
      <c r="E56" s="16">
        <v>5.14</v>
      </c>
      <c r="F56" s="16">
        <v>3.14</v>
      </c>
      <c r="G56" s="16">
        <v>5.85</v>
      </c>
      <c r="H56" s="18">
        <v>3.73</v>
      </c>
    </row>
    <row r="57" spans="4:8" ht="15.75" thickBot="1" x14ac:dyDescent="0.3">
      <c r="D57" s="12">
        <v>5</v>
      </c>
      <c r="E57" s="13">
        <v>6.74</v>
      </c>
      <c r="F57" s="13">
        <v>3.25</v>
      </c>
      <c r="G57" s="13">
        <v>7.92</v>
      </c>
      <c r="H57" s="14">
        <v>3.92</v>
      </c>
    </row>
    <row r="58" spans="4:8" ht="15.75" thickBot="1" x14ac:dyDescent="0.3">
      <c r="D58" s="19">
        <v>6</v>
      </c>
      <c r="E58" s="16">
        <v>8.15</v>
      </c>
      <c r="F58" s="16">
        <v>3.79</v>
      </c>
      <c r="G58" s="16">
        <v>7.88</v>
      </c>
      <c r="H58" s="18">
        <v>4.17</v>
      </c>
    </row>
    <row r="59" spans="4:8" ht="15.75" thickBot="1" x14ac:dyDescent="0.3">
      <c r="D59" s="12">
        <v>7</v>
      </c>
      <c r="E59" s="13">
        <v>8.3699999999999992</v>
      </c>
      <c r="F59" s="13">
        <v>4.13</v>
      </c>
      <c r="G59" s="13">
        <v>8.83</v>
      </c>
      <c r="H59" s="14">
        <v>3.93</v>
      </c>
    </row>
    <row r="60" spans="4:8" ht="15.75" thickBot="1" x14ac:dyDescent="0.3">
      <c r="D60" s="19">
        <v>8</v>
      </c>
      <c r="E60" s="16">
        <v>9.32</v>
      </c>
      <c r="F60" s="16">
        <v>5.23</v>
      </c>
      <c r="G60" s="16">
        <v>8.4499999999999993</v>
      </c>
      <c r="H60" s="18">
        <v>3.13</v>
      </c>
    </row>
    <row r="64" spans="4:8" x14ac:dyDescent="0.25">
      <c r="E64">
        <f>(0.1764*8.45)</f>
        <v>1.4905799999999998</v>
      </c>
      <c r="F64">
        <f>(0.1764*8.83)</f>
        <v>1.557612</v>
      </c>
      <c r="G64">
        <f>(0.1764*7.88)</f>
        <v>1.3900319999999999</v>
      </c>
      <c r="H64">
        <f>+(0.1764*7.92)</f>
        <v>1.3970880000000001</v>
      </c>
    </row>
    <row r="65" spans="5:8" x14ac:dyDescent="0.25">
      <c r="E65">
        <f>EXP(1.49058)</f>
        <v>4.4396697808684626</v>
      </c>
      <c r="F65">
        <f>EXP(1.557612)</f>
        <v>4.7474707379039991</v>
      </c>
      <c r="G65">
        <f>EXP(1.390032)</f>
        <v>4.0149785302515228</v>
      </c>
      <c r="H65">
        <f>EXP(1.397088)</f>
        <v>4.0434084013929743</v>
      </c>
    </row>
    <row r="66" spans="5:8" x14ac:dyDescent="0.25">
      <c r="E66">
        <f>(0.9331*4.43967)</f>
        <v>4.1426560769999998</v>
      </c>
      <c r="F66">
        <f>(0.9331*4.747471)</f>
        <v>4.4298651901000001</v>
      </c>
      <c r="G66">
        <f>(0.9331*4.014979)</f>
        <v>3.7463769049000004</v>
      </c>
      <c r="H66">
        <f>(0.9331*4.043408)</f>
        <v>3.7729040048000004</v>
      </c>
    </row>
  </sheetData>
  <mergeCells count="3">
    <mergeCell ref="D5:D6"/>
    <mergeCell ref="D27:D28"/>
    <mergeCell ref="D49:D5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Regressão Logarítimica</vt:lpstr>
      <vt:lpstr>Regressão Log GABARITO</vt:lpstr>
      <vt:lpstr>Regressão Polinomial</vt:lpstr>
      <vt:lpstr>regressão exponencial</vt:lpstr>
      <vt:lpstr>Análise de rotas</vt:lpstr>
      <vt:lpstr>Rota 1- Regressões</vt:lpstr>
      <vt:lpstr>Rota 2 - Regressão Produ Quilom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Demerval Luiz Polizelli</dc:creator>
  <cp:lastModifiedBy>Demerval Luiz Polizelli</cp:lastModifiedBy>
  <dcterms:created xsi:type="dcterms:W3CDTF">2019-04-14T16:29:00Z</dcterms:created>
  <dcterms:modified xsi:type="dcterms:W3CDTF">2019-04-15T19:28:51Z</dcterms:modified>
</cp:coreProperties>
</file>