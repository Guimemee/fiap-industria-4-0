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5DDC0BE3-B33E-456E-994A-0172FAD75A14}" xr6:coauthVersionLast="43" xr6:coauthVersionMax="43" xr10:uidLastSave="{00000000-0000-0000-0000-000000000000}"/>
  <bookViews>
    <workbookView xWindow="-120" yWindow="-120" windowWidth="29040" windowHeight="15840" activeTab="2" xr2:uid="{F4E7981C-7254-4D9E-BC69-8CEB5BDCAD47}"/>
  </bookViews>
  <sheets>
    <sheet name="Preço K Gabarito" sheetId="1" r:id="rId1"/>
    <sheet name="Preço K Exercício" sheetId="2" r:id="rId2"/>
    <sheet name="Preço Fiesta Gabarito" sheetId="3" r:id="rId3"/>
    <sheet name="Preço Fiesta exercíc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4" i="3" l="1"/>
  <c r="J67" i="3" l="1"/>
  <c r="J66" i="3"/>
  <c r="J33" i="3"/>
  <c r="J32" i="3"/>
  <c r="F106" i="1"/>
  <c r="H65" i="1"/>
  <c r="H64" i="1"/>
  <c r="H34" i="1"/>
  <c r="H33" i="1"/>
</calcChain>
</file>

<file path=xl/sharedStrings.xml><?xml version="1.0" encoding="utf-8"?>
<sst xmlns="http://schemas.openxmlformats.org/spreadsheetml/2006/main" count="201" uniqueCount="36">
  <si>
    <t>Observação</t>
  </si>
  <si>
    <t>Ano</t>
  </si>
  <si>
    <t xml:space="preserve">Quilometragem </t>
  </si>
  <si>
    <t>Preço (R$)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</si>
  <si>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</si>
  <si>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</si>
  <si>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</si>
  <si>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</si>
  <si>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</si>
  <si>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</si>
  <si>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</si>
  <si>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</si>
  <si>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</si>
  <si>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</si>
  <si>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</si>
  <si>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</si>
  <si>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</si>
  <si>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</si>
  <si>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</si>
  <si>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</si>
  <si>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</si>
  <si>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</si>
  <si>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</si>
  <si>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</si>
  <si>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</si>
  <si>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</si>
  <si>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</si>
  <si>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</si>
  <si>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</si>
  <si>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</si>
  <si>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>Manutenção ano (R$)</t>
  </si>
  <si>
    <t>Eventos</t>
  </si>
  <si>
    <t>Ano de fabricação</t>
  </si>
  <si>
    <t>Quilometragem</t>
  </si>
  <si>
    <t>Manutenção</t>
  </si>
  <si>
    <t>Preço = f(ano + quilometragem)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</si>
</sst>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0" fillId="0" borderId="0" xfId="0" applyNumberFormat="1" applyFill="1" applyBorder="1" applyAlignment="1"/>
    <xf numFmtId="164" fontId="0" fillId="0" borderId="1" xfId="0" applyNumberFormat="1" applyFill="1" applyBorder="1" applyAlignment="1"/>
    <xf numFmtId="165" fontId="0" fillId="0" borderId="0" xfId="0" applyNumberFormat="1" applyFill="1" applyBorder="1" applyAlignment="1"/>
    <xf numFmtId="165" fontId="0" fillId="0" borderId="1" xfId="0" applyNumberForma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4" fillId="0" borderId="2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/>
    <xf numFmtId="2" fontId="3" fillId="0" borderId="1" xfId="0" applyNumberFormat="1" applyFont="1" applyFill="1" applyBorder="1" applyAlignment="1"/>
    <xf numFmtId="0" fontId="4" fillId="0" borderId="2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1" xfId="0" applyFont="1" applyFill="1" applyBorder="1" applyAlignment="1"/>
    <xf numFmtId="0" fontId="5" fillId="0" borderId="0" xfId="0" applyFont="1"/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73</xdr:row>
      <xdr:rowOff>104775</xdr:rowOff>
    </xdr:from>
    <xdr:ext cx="3903826" cy="46801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130513C-0AC5-4880-8B1F-268973CF5EAA}"/>
            </a:ext>
          </a:extLst>
        </xdr:cNvPr>
        <xdr:cNvSpPr txBox="1"/>
      </xdr:nvSpPr>
      <xdr:spPr>
        <a:xfrm>
          <a:off x="1838325" y="9972675"/>
          <a:ext cx="390382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/>
            <a:t>Regressão preço (Y) = f (ano) </a:t>
          </a:r>
        </a:p>
      </xdr:txBody>
    </xdr:sp>
    <xdr:clientData/>
  </xdr:oneCellAnchor>
  <xdr:oneCellAnchor>
    <xdr:from>
      <xdr:col>7</xdr:col>
      <xdr:colOff>180974</xdr:colOff>
      <xdr:row>98</xdr:row>
      <xdr:rowOff>0</xdr:rowOff>
    </xdr:from>
    <xdr:ext cx="9020175" cy="445981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365FF8C-4851-4EF7-A17B-9440443316C2}"/>
            </a:ext>
          </a:extLst>
        </xdr:cNvPr>
        <xdr:cNvSpPr txBox="1"/>
      </xdr:nvSpPr>
      <xdr:spPr>
        <a:xfrm>
          <a:off x="7000874" y="19021425"/>
          <a:ext cx="9020175" cy="44598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Verificações :</a:t>
          </a:r>
        </a:p>
        <a:p>
          <a:endParaRPr lang="pt-BR" sz="1600" b="1"/>
        </a:p>
        <a:p>
          <a:r>
            <a:rPr lang="pt-BR" sz="1600" b="1"/>
            <a:t>1. Intervalo</a:t>
          </a:r>
          <a:r>
            <a:rPr lang="pt-BR" sz="1600" b="1" baseline="0"/>
            <a:t> de confiança:  2.741,93 está loclaizado entre 1.051,14 e 4.432,72: portanto aceito</a:t>
          </a:r>
        </a:p>
        <a:p>
          <a:endParaRPr lang="pt-BR" sz="1600" b="1" baseline="0"/>
        </a:p>
        <a:p>
          <a:endParaRPr lang="pt-BR" sz="1600" b="1" baseline="0"/>
        </a:p>
        <a:p>
          <a:r>
            <a:rPr lang="pt-BR" sz="1600" b="1" baseline="0"/>
            <a:t>2. Teste Stat t;</a:t>
          </a:r>
        </a:p>
        <a:p>
          <a:endParaRPr lang="pt-BR" sz="1600" b="1" baseline="0"/>
        </a:p>
        <a:p>
          <a:r>
            <a:rPr lang="pt-BR" sz="1600" b="1" baseline="0"/>
            <a:t>(2.741,93 -1051,14) / 782,64 = -  e + 2,16  fora do intervalo do Stat t (3,50): portanto aceito</a:t>
          </a:r>
        </a:p>
        <a:p>
          <a:endParaRPr lang="pt-BR" sz="1600" b="1" baseline="0"/>
        </a:p>
        <a:p>
          <a:endParaRPr lang="pt-BR" sz="1600" b="1" baseline="0"/>
        </a:p>
        <a:p>
          <a:r>
            <a:rPr lang="pt-BR" sz="1600" b="1" baseline="0"/>
            <a:t>3. valor P de 0,004, portanto menor que 0,05 portanto aceito</a:t>
          </a:r>
          <a:r>
            <a:rPr lang="pt-BR" sz="1600" baseline="0"/>
            <a:t>.</a:t>
          </a:r>
        </a:p>
        <a:p>
          <a:endParaRPr lang="pt-BR" sz="1600" baseline="0"/>
        </a:p>
        <a:p>
          <a:endParaRPr lang="pt-BR" sz="1600" baseline="0"/>
        </a:p>
        <a:p>
          <a:r>
            <a:rPr lang="pt-BR" sz="1600" b="1" baseline="0"/>
            <a:t>Porém o maior problema reside no R² ajustado 0,45</a:t>
          </a:r>
        </a:p>
        <a:p>
          <a:endParaRPr lang="pt-BR" sz="1100" baseline="0"/>
        </a:p>
        <a:p>
          <a:endParaRPr lang="pt-BR" sz="1100" baseline="0"/>
        </a:p>
        <a:p>
          <a:endParaRPr lang="pt-BR" sz="1100" baseline="0"/>
        </a:p>
        <a:p>
          <a:endParaRPr lang="pt-BR" sz="1100" baseline="0"/>
        </a:p>
        <a:p>
          <a:endParaRPr lang="pt-BR" sz="1100"/>
        </a:p>
      </xdr:txBody>
    </xdr:sp>
    <xdr:clientData/>
  </xdr:oneCellAnchor>
  <xdr:oneCellAnchor>
    <xdr:from>
      <xdr:col>0</xdr:col>
      <xdr:colOff>209551</xdr:colOff>
      <xdr:row>28</xdr:row>
      <xdr:rowOff>0</xdr:rowOff>
    </xdr:from>
    <xdr:ext cx="5910776" cy="1657349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77407F5-3425-4366-8E49-DBBC38082AFD}"/>
            </a:ext>
          </a:extLst>
        </xdr:cNvPr>
        <xdr:cNvSpPr txBox="1"/>
      </xdr:nvSpPr>
      <xdr:spPr>
        <a:xfrm>
          <a:off x="209551" y="5019675"/>
          <a:ext cx="5910776" cy="1657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pt-BR">
            <a:effectLst/>
          </a:endParaRPr>
        </a:p>
        <a:p>
          <a:r>
            <a:rPr lang="pt-BR" sz="1600" b="1"/>
            <a:t>1. R² ajustado neutro. Portanto não é uma</a:t>
          </a:r>
          <a:r>
            <a:rPr lang="pt-BR" sz="1600" b="1" baseline="0"/>
            <a:t> regressão confiável.</a:t>
          </a:r>
        </a:p>
        <a:p>
          <a:endParaRPr lang="pt-BR" sz="1600" b="1" baseline="0"/>
        </a:p>
        <a:p>
          <a:r>
            <a:rPr lang="pt-BR" sz="1600" b="1" baseline="0"/>
            <a:t>2. Valor P X2 com elevada margem de erro (maior do que 0,05).</a:t>
          </a:r>
        </a:p>
        <a:p>
          <a:endParaRPr lang="pt-BR" sz="1600" b="1" baseline="0"/>
        </a:p>
        <a:p>
          <a:r>
            <a:rPr lang="pt-BR" sz="1600" b="1" baseline="0"/>
            <a:t>3. Satat t X2 dentro do intervalo de erro ou risco.</a:t>
          </a:r>
          <a:endParaRPr lang="pt-BR" sz="1600" b="1"/>
        </a:p>
      </xdr:txBody>
    </xdr:sp>
    <xdr:clientData/>
  </xdr:oneCellAnchor>
  <xdr:oneCellAnchor>
    <xdr:from>
      <xdr:col>0</xdr:col>
      <xdr:colOff>400050</xdr:colOff>
      <xdr:row>60</xdr:row>
      <xdr:rowOff>114300</xdr:rowOff>
    </xdr:from>
    <xdr:ext cx="5786951" cy="178318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B60CEFF-6237-4808-A919-750C04AE27B1}"/>
            </a:ext>
          </a:extLst>
        </xdr:cNvPr>
        <xdr:cNvSpPr txBox="1"/>
      </xdr:nvSpPr>
      <xdr:spPr>
        <a:xfrm>
          <a:off x="400050" y="9039225"/>
          <a:ext cx="5786951" cy="1783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Verificações :</a:t>
          </a:r>
          <a:endParaRPr lang="pt-BR" sz="1200" b="1">
            <a:effectLst/>
          </a:endParaRPr>
        </a:p>
        <a:p>
          <a:r>
            <a:rPr lang="pt-B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Intervalo</a:t>
          </a: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confiança X1:  3962,70  está loclaizado entre 3573,7 e 4351,7</a:t>
          </a: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Intervalo de confiança X2: 16,17 está localizado entre 14,09 e 18,25</a:t>
          </a:r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Teste Stat t;</a:t>
          </a:r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X1: (3962,71 - 3573,71) / 178,54  = -  e + 2,18 do Stat t (22,20)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fora do intervalo  de risco</a:t>
          </a:r>
          <a:endParaRPr lang="pt-BR" sz="12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X2: (16,17-14,09)/0,96 = - e + 2,18 Stat t (16,93) 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fora do intervalo  de risco </a:t>
          </a:r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valor P</a:t>
          </a: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X1: 4,12 E-11  portanto menor que 0,05, portanto aceito.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X2: 9,7 E-10  portanto menor que 0,05, portanto aceito.</a:t>
          </a:r>
          <a:endParaRPr lang="pt-BR" sz="1200" b="1"/>
        </a:p>
      </xdr:txBody>
    </xdr:sp>
    <xdr:clientData/>
  </xdr:oneCellAnchor>
  <xdr:oneCellAnchor>
    <xdr:from>
      <xdr:col>2</xdr:col>
      <xdr:colOff>171449</xdr:colOff>
      <xdr:row>1</xdr:row>
      <xdr:rowOff>57150</xdr:rowOff>
    </xdr:from>
    <xdr:ext cx="12458701" cy="1171576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878E8AF-CB16-4BF5-B0C1-32A0C99FDF96}"/>
            </a:ext>
          </a:extLst>
        </xdr:cNvPr>
        <xdr:cNvSpPr txBox="1"/>
      </xdr:nvSpPr>
      <xdr:spPr>
        <a:xfrm>
          <a:off x="1390649" y="247650"/>
          <a:ext cx="12458701" cy="1171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2000"/>
            <a:t>Uma concessionária precisa ter condições de avaliar os carros usados que recebe para poder calcular as margens de </a:t>
          </a:r>
        </a:p>
        <a:p>
          <a:r>
            <a:rPr lang="pt-BR" sz="2000"/>
            <a:t> valor justas para os seus clientes,</a:t>
          </a:r>
          <a:r>
            <a:rPr lang="pt-BR" sz="2000" baseline="0"/>
            <a:t> quando aceita os usados como parte de pagamento.</a:t>
          </a:r>
          <a:endParaRPr lang="pt-BR" sz="2000"/>
        </a:p>
        <a:p>
          <a:r>
            <a:rPr lang="pt-BR" sz="2000"/>
            <a:t>Com o apoio da montadora ela isola algumas variáveis</a:t>
          </a:r>
          <a:r>
            <a:rPr lang="pt-BR" sz="2000" baseline="0"/>
            <a:t> para reduzir os seus riscos. Identifique as mais adequadas.</a:t>
          </a:r>
          <a:endParaRPr lang="pt-BR" sz="2000"/>
        </a:p>
        <a:p>
          <a:endParaRPr lang="pt-BR" sz="1100"/>
        </a:p>
      </xdr:txBody>
    </xdr:sp>
    <xdr:clientData/>
  </xdr:oneCellAnchor>
  <xdr:oneCellAnchor>
    <xdr:from>
      <xdr:col>2</xdr:col>
      <xdr:colOff>409575</xdr:colOff>
      <xdr:row>40</xdr:row>
      <xdr:rowOff>47625</xdr:rowOff>
    </xdr:from>
    <xdr:ext cx="2647950" cy="314324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A3AB373-2F35-4012-BF1E-8911D528D3C9}"/>
            </a:ext>
          </a:extLst>
        </xdr:cNvPr>
        <xdr:cNvSpPr txBox="1"/>
      </xdr:nvSpPr>
      <xdr:spPr>
        <a:xfrm>
          <a:off x="1628775" y="7381875"/>
          <a:ext cx="2647950" cy="314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/>
            <a:t>Y =</a:t>
          </a:r>
          <a:r>
            <a:rPr lang="pt-BR" sz="1800" b="1" baseline="0"/>
            <a:t> f (ano + manutenção) </a:t>
          </a:r>
          <a:endParaRPr lang="pt-BR" sz="1800" b="1"/>
        </a:p>
      </xdr:txBody>
    </xdr:sp>
    <xdr:clientData/>
  </xdr:oneCellAnchor>
  <xdr:oneCellAnchor>
    <xdr:from>
      <xdr:col>8</xdr:col>
      <xdr:colOff>342900</xdr:colOff>
      <xdr:row>31</xdr:row>
      <xdr:rowOff>133350</xdr:rowOff>
    </xdr:from>
    <xdr:ext cx="4552950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E4C06AE-0B10-4672-9B50-AE059887C2D5}"/>
            </a:ext>
          </a:extLst>
        </xdr:cNvPr>
        <xdr:cNvSpPr txBox="1"/>
      </xdr:nvSpPr>
      <xdr:spPr>
        <a:xfrm>
          <a:off x="8620125" y="5753100"/>
          <a:ext cx="4552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intervalo - 2,17 e + 2,17, stat t 3,15 fora do intervalo : logo aceito.</a:t>
          </a:r>
        </a:p>
      </xdr:txBody>
    </xdr:sp>
    <xdr:clientData/>
  </xdr:oneCellAnchor>
  <xdr:oneCellAnchor>
    <xdr:from>
      <xdr:col>8</xdr:col>
      <xdr:colOff>371475</xdr:colOff>
      <xdr:row>32</xdr:row>
      <xdr:rowOff>171450</xdr:rowOff>
    </xdr:from>
    <xdr:ext cx="4591049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607EE67-DF82-4B4B-9B3E-EFF15CEFCF02}"/>
            </a:ext>
          </a:extLst>
        </xdr:cNvPr>
        <xdr:cNvSpPr txBox="1"/>
      </xdr:nvSpPr>
      <xdr:spPr>
        <a:xfrm>
          <a:off x="8648700" y="5981700"/>
          <a:ext cx="45910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Intervalo -2,17 e + 2,17 stat t -0,125 dento do intervalo: logo rejetiado</a:t>
          </a:r>
        </a:p>
      </xdr:txBody>
    </xdr:sp>
    <xdr:clientData/>
  </xdr:oneCellAnchor>
  <xdr:oneCellAnchor>
    <xdr:from>
      <xdr:col>1</xdr:col>
      <xdr:colOff>542925</xdr:colOff>
      <xdr:row>94</xdr:row>
      <xdr:rowOff>9526</xdr:rowOff>
    </xdr:from>
    <xdr:ext cx="4800600" cy="1190624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AF71EC8-7040-4039-B955-973FE66FEF35}"/>
            </a:ext>
          </a:extLst>
        </xdr:cNvPr>
        <xdr:cNvSpPr txBox="1"/>
      </xdr:nvSpPr>
      <xdr:spPr>
        <a:xfrm>
          <a:off x="1152525" y="18268951"/>
          <a:ext cx="4800600" cy="119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/>
            <a:t>Tabela</a:t>
          </a:r>
          <a:r>
            <a:rPr lang="pt-BR" sz="1100" baseline="0"/>
            <a:t> de controle:  </a:t>
          </a:r>
        </a:p>
        <a:p>
          <a:endParaRPr lang="pt-BR" sz="1100" baseline="0"/>
        </a:p>
        <a:p>
          <a:r>
            <a:rPr lang="pt-BR" sz="1100" baseline="0"/>
            <a:t>Relacionar somente ao tempo</a:t>
          </a:r>
          <a:endParaRPr lang="pt-BR" sz="1100"/>
        </a:p>
      </xdr:txBody>
    </xdr:sp>
    <xdr:clientData/>
  </xdr:oneCellAnchor>
  <xdr:oneCellAnchor>
    <xdr:from>
      <xdr:col>1</xdr:col>
      <xdr:colOff>180975</xdr:colOff>
      <xdr:row>70</xdr:row>
      <xdr:rowOff>123825</xdr:rowOff>
    </xdr:from>
    <xdr:ext cx="5084341" cy="436786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7358641-8B3C-41D3-8CF6-DB925C25FA20}"/>
            </a:ext>
          </a:extLst>
        </xdr:cNvPr>
        <xdr:cNvSpPr txBox="1"/>
      </xdr:nvSpPr>
      <xdr:spPr>
        <a:xfrm>
          <a:off x="790575" y="13754100"/>
          <a:ext cx="508434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OBS: Note comjo o erro padrão diminui na segunda tentiva em relação à priemira e à </a:t>
          </a:r>
        </a:p>
        <a:p>
          <a:r>
            <a:rPr lang="pt-BR" sz="1100"/>
            <a:t>terceira.</a:t>
          </a:r>
        </a:p>
      </xdr:txBody>
    </xdr:sp>
    <xdr:clientData/>
  </xdr:oneCellAnchor>
  <xdr:oneCellAnchor>
    <xdr:from>
      <xdr:col>7</xdr:col>
      <xdr:colOff>171450</xdr:colOff>
      <xdr:row>97</xdr:row>
      <xdr:rowOff>104775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0B1ACB0-E277-49A5-BF97-0863BDED8438}"/>
            </a:ext>
          </a:extLst>
        </xdr:cNvPr>
        <xdr:cNvSpPr txBox="1"/>
      </xdr:nvSpPr>
      <xdr:spPr>
        <a:xfrm>
          <a:off x="6991350" y="1855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7</xdr:col>
      <xdr:colOff>361950</xdr:colOff>
      <xdr:row>95</xdr:row>
      <xdr:rowOff>142875</xdr:rowOff>
    </xdr:from>
    <xdr:ext cx="5503623" cy="342786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9B72103F-A625-4009-9A67-B7B057F0DDE4}"/>
            </a:ext>
          </a:extLst>
        </xdr:cNvPr>
        <xdr:cNvSpPr txBox="1"/>
      </xdr:nvSpPr>
      <xdr:spPr>
        <a:xfrm>
          <a:off x="7181850" y="18592800"/>
          <a:ext cx="550362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Maior problema R² ajustado neutro 0,45</a:t>
          </a:r>
          <a:r>
            <a:rPr lang="pt-BR" sz="1600" b="1" baseline="0"/>
            <a:t> (próximo da tabela 1)</a:t>
          </a:r>
          <a:endParaRPr lang="pt-BR" sz="16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114300</xdr:rowOff>
    </xdr:from>
    <xdr:ext cx="9881359" cy="101591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B699DCA-902F-4406-B83B-D799157248C9}"/>
            </a:ext>
          </a:extLst>
        </xdr:cNvPr>
        <xdr:cNvSpPr txBox="1"/>
      </xdr:nvSpPr>
      <xdr:spPr>
        <a:xfrm>
          <a:off x="1885950" y="304800"/>
          <a:ext cx="9881359" cy="1015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Uma concessionária precisa ter condições de avaliar os carros usados que recebe para poder calcular as margens de 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justas para os seus clientes,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quando aceita os usados como parte de pagamento.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 o apoio da montadora ela isola algumas variáveis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reduzir os seus riscos. Identifique as mais adequadas.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3</xdr:col>
      <xdr:colOff>409575</xdr:colOff>
      <xdr:row>7</xdr:row>
      <xdr:rowOff>57150</xdr:rowOff>
    </xdr:from>
    <xdr:ext cx="2039084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71A2AD4-3466-4367-A2AE-D1174DFA0E2B}"/>
            </a:ext>
          </a:extLst>
        </xdr:cNvPr>
        <xdr:cNvSpPr txBox="1"/>
      </xdr:nvSpPr>
      <xdr:spPr>
        <a:xfrm>
          <a:off x="2238375" y="1390650"/>
          <a:ext cx="20390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Preço =</a:t>
          </a:r>
          <a:r>
            <a:rPr lang="pt-BR" sz="1100" baseline="0"/>
            <a:t> f (ano + quilometragem)</a:t>
          </a:r>
          <a:endParaRPr lang="pt-BR" sz="1100"/>
        </a:p>
      </xdr:txBody>
    </xdr:sp>
    <xdr:clientData/>
  </xdr:oneCellAnchor>
  <xdr:oneCellAnchor>
    <xdr:from>
      <xdr:col>3</xdr:col>
      <xdr:colOff>485775</xdr:colOff>
      <xdr:row>27</xdr:row>
      <xdr:rowOff>57150</xdr:rowOff>
    </xdr:from>
    <xdr:ext cx="4133850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5230825-192A-4246-AF91-0E3D54767E2E}"/>
            </a:ext>
          </a:extLst>
        </xdr:cNvPr>
        <xdr:cNvSpPr txBox="1"/>
      </xdr:nvSpPr>
      <xdr:spPr>
        <a:xfrm>
          <a:off x="2314575" y="5200650"/>
          <a:ext cx="4133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Preço = f ( ano + manutenção)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25</xdr:row>
      <xdr:rowOff>85725</xdr:rowOff>
    </xdr:from>
    <xdr:ext cx="7067550" cy="245745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5C2D142-F6C7-4840-92E1-4AFEE5AF8C97}"/>
            </a:ext>
          </a:extLst>
        </xdr:cNvPr>
        <xdr:cNvSpPr txBox="1"/>
      </xdr:nvSpPr>
      <xdr:spPr>
        <a:xfrm>
          <a:off x="419100" y="4857750"/>
          <a:ext cx="7067550" cy="2457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Verificações </a:t>
          </a:r>
        </a:p>
        <a:p>
          <a:r>
            <a:rPr lang="pt-BR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Intervalo</a:t>
          </a:r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confiança: </a:t>
          </a: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 5683,21  está loclaizado entre 3.158,69 e 8207,73 (aceito)</a:t>
          </a: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 0,16035  está localizado entre -0,1778 e 0,4985 (zero no intervalo, portanto não aceito)</a:t>
          </a:r>
        </a:p>
        <a:p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Teste Stat t;</a:t>
          </a:r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X1: (5683,21 - 3158,69) / 1158,70  =  e - 2,18  (Stat t 4,90), fora do intervalo de risco  (portanto aceito)</a:t>
          </a:r>
        </a:p>
        <a:p>
          <a:r>
            <a:rPr lang="pt-BR" sz="1200" b="1">
              <a:effectLst/>
            </a:rPr>
            <a:t>X2: [0,1603 - (-0,1778)]/0,1552 = - e + 2,18 Stat t (1,0332), dentro do intervalo</a:t>
          </a:r>
          <a:r>
            <a:rPr lang="pt-BR" sz="1200" b="1" baseline="0">
              <a:effectLst/>
            </a:rPr>
            <a:t> de risco</a:t>
          </a:r>
          <a:r>
            <a:rPr lang="pt-BR" sz="1200" b="1">
              <a:effectLst/>
            </a:rPr>
            <a:t>(portanto não aceito)</a:t>
          </a:r>
        </a:p>
        <a:p>
          <a:endParaRPr lang="pt-BR" sz="1200" b="1">
            <a:effectLst/>
          </a:endParaRPr>
        </a:p>
        <a:p>
          <a:r>
            <a:rPr lang="pt-BR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valor P:</a:t>
          </a:r>
          <a:endParaRPr lang="pt-BR" sz="1200" b="1">
            <a:effectLst/>
          </a:endParaRPr>
        </a:p>
        <a:p>
          <a:r>
            <a:rPr lang="pt-BR" sz="1200" b="1"/>
            <a:t>X1:</a:t>
          </a:r>
          <a:r>
            <a:rPr lang="pt-BR" sz="1200" b="1" baseline="0"/>
            <a:t> 0,00037 abaixo da margem de 0,05 (aceito)</a:t>
          </a:r>
        </a:p>
        <a:p>
          <a:r>
            <a:rPr lang="pt-BR" sz="1200" b="1" baseline="0"/>
            <a:t>X2: 0,3218 acima da margem de tolerância 0,05 (não aceito)</a:t>
          </a:r>
        </a:p>
        <a:p>
          <a:endParaRPr lang="pt-BR" sz="1100"/>
        </a:p>
      </xdr:txBody>
    </xdr:sp>
    <xdr:clientData/>
  </xdr:oneCellAnchor>
  <xdr:oneCellAnchor>
    <xdr:from>
      <xdr:col>1</xdr:col>
      <xdr:colOff>19049</xdr:colOff>
      <xdr:row>58</xdr:row>
      <xdr:rowOff>95250</xdr:rowOff>
    </xdr:from>
    <xdr:ext cx="6448425" cy="250350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937237F-5C16-44BA-A1EF-9A7E822FA6EB}"/>
            </a:ext>
          </a:extLst>
        </xdr:cNvPr>
        <xdr:cNvSpPr txBox="1"/>
      </xdr:nvSpPr>
      <xdr:spPr>
        <a:xfrm>
          <a:off x="628649" y="11010900"/>
          <a:ext cx="6448425" cy="2503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Verificações:</a:t>
          </a:r>
        </a:p>
        <a:p>
          <a:endParaRPr lang="pt-BR">
            <a:effectLst/>
          </a:endParaRPr>
        </a:p>
        <a:p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Intervalo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confiança: </a:t>
          </a:r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 5927,12  está loclaizado entre 5528,58 e 6325,65 ( Não zero no intervalo, portanto aceito)</a:t>
          </a:r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 13,015  está localizado entre 11,51 e 11,508 (Não zero no intervalo, portanto aceito)</a:t>
          </a:r>
        </a:p>
        <a:p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Teste Stat t;</a:t>
          </a:r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X1: (5927,12 - 5528,58) / 182,91 = + e - 2,18  (Stat t  32,40), fora do intervalo de risco, portanto aceito</a:t>
          </a:r>
          <a:endParaRPr lang="pt-BR">
            <a:effectLst/>
          </a:endParaRPr>
        </a:p>
        <a:p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X2: [13,015 - 11,508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)/0,69 = + e - 2,19 (Stat t 18,82) fora do intervalo de risco, portanto  aceito</a:t>
          </a:r>
        </a:p>
        <a:p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valor P de 0,004, portanto menor que 0,05 portanto aceito.</a:t>
          </a:r>
          <a:endParaRPr lang="pt-BR">
            <a:effectLst/>
          </a:endParaRPr>
        </a:p>
        <a:p>
          <a:r>
            <a:rPr lang="pt-B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X1: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4,72 E-13 abaixo da margem de 0,05 (aceito)</a:t>
          </a:r>
          <a:endParaRPr lang="pt-BR">
            <a:effectLst/>
          </a:endParaRPr>
        </a:p>
        <a:p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X2: 2,82 E-10 abaixo da margem de tolerância 0,05 (aceito)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2</xdr:col>
      <xdr:colOff>190500</xdr:colOff>
      <xdr:row>1</xdr:row>
      <xdr:rowOff>66675</xdr:rowOff>
    </xdr:from>
    <xdr:ext cx="9881359" cy="84772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E5F4EEE-4489-4F28-8001-B840960C9759}"/>
            </a:ext>
          </a:extLst>
        </xdr:cNvPr>
        <xdr:cNvSpPr txBox="1"/>
      </xdr:nvSpPr>
      <xdr:spPr>
        <a:xfrm>
          <a:off x="1409700" y="257175"/>
          <a:ext cx="9881359" cy="847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Uma concessionária precisa ter condições de avaliar os carros usados que recebe para poder calcular as margens de 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justas para os seus clientes,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quando aceita os usados como parte de pagamento.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 o apoio da montadora ela isola algumas variáveis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reduzir os seus riscos. Identifique as mais adequadas.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2</xdr:col>
      <xdr:colOff>476250</xdr:colOff>
      <xdr:row>7</xdr:row>
      <xdr:rowOff>0</xdr:rowOff>
    </xdr:from>
    <xdr:ext cx="3878882" cy="476136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133F6CD-D4A2-4061-80E3-FE783780D2E2}"/>
            </a:ext>
          </a:extLst>
        </xdr:cNvPr>
        <xdr:cNvSpPr txBox="1"/>
      </xdr:nvSpPr>
      <xdr:spPr>
        <a:xfrm>
          <a:off x="1695450" y="1143000"/>
          <a:ext cx="3878882" cy="4761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 b="1"/>
            <a:t>Preço = f</a:t>
          </a:r>
          <a:r>
            <a:rPr lang="pt-BR" sz="1600" b="1" baseline="0"/>
            <a:t> (ano de fabricação e manutenção)</a:t>
          </a:r>
          <a:endParaRPr lang="pt-BR" sz="1600" b="1"/>
        </a:p>
      </xdr:txBody>
    </xdr:sp>
    <xdr:clientData/>
  </xdr:oneCellAnchor>
  <xdr:oneCellAnchor>
    <xdr:from>
      <xdr:col>2</xdr:col>
      <xdr:colOff>342900</xdr:colOff>
      <xdr:row>38</xdr:row>
      <xdr:rowOff>152400</xdr:rowOff>
    </xdr:from>
    <xdr:ext cx="3857723" cy="34278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A168173-15DD-4EAA-9C12-2FA3E394C676}"/>
            </a:ext>
          </a:extLst>
        </xdr:cNvPr>
        <xdr:cNvSpPr txBox="1"/>
      </xdr:nvSpPr>
      <xdr:spPr>
        <a:xfrm>
          <a:off x="1562100" y="7629525"/>
          <a:ext cx="385772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Preço = f (ano de fabricação e manutenção</a:t>
          </a:r>
          <a:r>
            <a:rPr lang="pt-BR" sz="1100"/>
            <a:t>)</a:t>
          </a:r>
        </a:p>
      </xdr:txBody>
    </xdr:sp>
    <xdr:clientData/>
  </xdr:oneCellAnchor>
  <xdr:oneCellAnchor>
    <xdr:from>
      <xdr:col>2</xdr:col>
      <xdr:colOff>676275</xdr:colOff>
      <xdr:row>71</xdr:row>
      <xdr:rowOff>66676</xdr:rowOff>
    </xdr:from>
    <xdr:ext cx="1422056" cy="3048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5F38EE8-081F-4804-8B19-6F183A39D938}"/>
            </a:ext>
          </a:extLst>
        </xdr:cNvPr>
        <xdr:cNvSpPr txBox="1"/>
      </xdr:nvSpPr>
      <xdr:spPr>
        <a:xfrm>
          <a:off x="1895475" y="14039851"/>
          <a:ext cx="1422056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 b="1"/>
            <a:t>Preço =</a:t>
          </a:r>
          <a:r>
            <a:rPr lang="pt-BR" sz="1600" b="1" baseline="0"/>
            <a:t> f (ano)</a:t>
          </a:r>
          <a:endParaRPr lang="pt-BR" sz="1600" b="1"/>
        </a:p>
      </xdr:txBody>
    </xdr:sp>
    <xdr:clientData/>
  </xdr:oneCellAnchor>
  <xdr:oneCellAnchor>
    <xdr:from>
      <xdr:col>9</xdr:col>
      <xdr:colOff>133349</xdr:colOff>
      <xdr:row>92</xdr:row>
      <xdr:rowOff>171450</xdr:rowOff>
    </xdr:from>
    <xdr:ext cx="6962775" cy="45720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81F1C57-6AD6-484A-8C84-4CDF9D95D716}"/>
            </a:ext>
          </a:extLst>
        </xdr:cNvPr>
        <xdr:cNvSpPr txBox="1"/>
      </xdr:nvSpPr>
      <xdr:spPr>
        <a:xfrm>
          <a:off x="8000999" y="18354675"/>
          <a:ext cx="6962775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600" b="1"/>
            <a:t>Note que o R² ajustado da regressão 3 se aproxima da regressão 1.</a:t>
          </a:r>
        </a:p>
        <a:p>
          <a:endParaRPr lang="pt-BR" sz="1600" b="1"/>
        </a:p>
        <a:p>
          <a:r>
            <a:rPr lang="pt-BR" sz="1600" b="1"/>
            <a:t>ambas são inferiores à regressão 2</a:t>
          </a:r>
        </a:p>
      </xdr:txBody>
    </xdr:sp>
    <xdr:clientData/>
  </xdr:oneCellAnchor>
  <xdr:oneCellAnchor>
    <xdr:from>
      <xdr:col>9</xdr:col>
      <xdr:colOff>314325</xdr:colOff>
      <xdr:row>97</xdr:row>
      <xdr:rowOff>152400</xdr:rowOff>
    </xdr:from>
    <xdr:ext cx="8008474" cy="515013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2E3EE934-374E-43E0-BF3E-8F3DE2F01907}"/>
            </a:ext>
          </a:extLst>
        </xdr:cNvPr>
        <xdr:cNvSpPr txBox="1"/>
      </xdr:nvSpPr>
      <xdr:spPr>
        <a:xfrm>
          <a:off x="8181975" y="19288125"/>
          <a:ext cx="8008474" cy="515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Intervalo</a:t>
          </a:r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confiança:  4.969,67 está loclaizado entre 2.954,54 e 6.984,8: portanto aceito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9</xdr:col>
      <xdr:colOff>361950</xdr:colOff>
      <xdr:row>100</xdr:row>
      <xdr:rowOff>161925</xdr:rowOff>
    </xdr:from>
    <xdr:ext cx="1202059" cy="530658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DDDE9CE-4078-47CC-9D07-4030C74B415A}"/>
            </a:ext>
          </a:extLst>
        </xdr:cNvPr>
        <xdr:cNvSpPr txBox="1"/>
      </xdr:nvSpPr>
      <xdr:spPr>
        <a:xfrm>
          <a:off x="8229600" y="19869150"/>
          <a:ext cx="120205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/>
            <a:t>2. teste stat t :</a:t>
          </a:r>
        </a:p>
      </xdr:txBody>
    </xdr:sp>
    <xdr:clientData/>
  </xdr:oneCellAnchor>
  <xdr:oneCellAnchor>
    <xdr:from>
      <xdr:col>10</xdr:col>
      <xdr:colOff>428625</xdr:colOff>
      <xdr:row>102</xdr:row>
      <xdr:rowOff>104774</xdr:rowOff>
    </xdr:from>
    <xdr:ext cx="5581650" cy="352425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3E606EF-D0E7-4BFE-9209-98F2C13FE6CD}"/>
            </a:ext>
          </a:extLst>
        </xdr:cNvPr>
        <xdr:cNvSpPr txBox="1"/>
      </xdr:nvSpPr>
      <xdr:spPr>
        <a:xfrm>
          <a:off x="9658350" y="20192999"/>
          <a:ext cx="5581650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 b="1"/>
            <a:t>Stat t 5,33 está fora do intervalo de risco -2,16 e +2,16 (aceito)</a:t>
          </a:r>
        </a:p>
      </xdr:txBody>
    </xdr:sp>
    <xdr:clientData/>
  </xdr:oneCellAnchor>
  <xdr:oneCellAnchor>
    <xdr:from>
      <xdr:col>9</xdr:col>
      <xdr:colOff>590550</xdr:colOff>
      <xdr:row>106</xdr:row>
      <xdr:rowOff>0</xdr:rowOff>
    </xdr:from>
    <xdr:ext cx="7505700" cy="342786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E7EE4933-20B5-4D31-9CAD-94A72A0730D1}"/>
            </a:ext>
          </a:extLst>
        </xdr:cNvPr>
        <xdr:cNvSpPr txBox="1"/>
      </xdr:nvSpPr>
      <xdr:spPr>
        <a:xfrm>
          <a:off x="8458200" y="20850225"/>
          <a:ext cx="75057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3. valor P (margem de erro da variável: 0,00013718 menor do que</a:t>
          </a:r>
          <a:r>
            <a:rPr lang="pt-BR" sz="1600" b="1" baseline="0"/>
            <a:t> 0,05 (aceito)</a:t>
          </a:r>
          <a:endParaRPr lang="pt-BR" sz="16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1</xdr:row>
      <xdr:rowOff>38100</xdr:rowOff>
    </xdr:from>
    <xdr:ext cx="9881359" cy="101591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A84F16E-7CF2-4FA4-9E25-65CB2B4D3D0B}"/>
            </a:ext>
          </a:extLst>
        </xdr:cNvPr>
        <xdr:cNvSpPr txBox="1"/>
      </xdr:nvSpPr>
      <xdr:spPr>
        <a:xfrm>
          <a:off x="1390650" y="228600"/>
          <a:ext cx="9881359" cy="1015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Uma concessionária precisa ter condições de avaliar os carros usados que recebe para poder calcular as margens de 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valor justas para os seus clientes,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quando aceita os usados como parte de pagamento.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 o apoio da montadora ela isola algumas variáveis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reduzir os seus riscos. Identifique as mais adequadas.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2</xdr:col>
      <xdr:colOff>447675</xdr:colOff>
      <xdr:row>7</xdr:row>
      <xdr:rowOff>9525</xdr:rowOff>
    </xdr:from>
    <xdr:ext cx="2931315" cy="342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AB2819B-0C04-41EC-99AD-F089E118F00B}"/>
            </a:ext>
          </a:extLst>
        </xdr:cNvPr>
        <xdr:cNvSpPr txBox="1"/>
      </xdr:nvSpPr>
      <xdr:spPr>
        <a:xfrm>
          <a:off x="1666875" y="1343025"/>
          <a:ext cx="293131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/>
            <a:t>Preço = f (ano +</a:t>
          </a:r>
          <a:r>
            <a:rPr lang="pt-BR" sz="1600" b="1" baseline="0"/>
            <a:t> quilometragem)</a:t>
          </a:r>
          <a:endParaRPr lang="pt-BR" sz="1600" b="1"/>
        </a:p>
      </xdr:txBody>
    </xdr:sp>
    <xdr:clientData/>
  </xdr:oneCellAnchor>
  <xdr:oneCellAnchor>
    <xdr:from>
      <xdr:col>2</xdr:col>
      <xdr:colOff>476249</xdr:colOff>
      <xdr:row>28</xdr:row>
      <xdr:rowOff>161924</xdr:rowOff>
    </xdr:from>
    <xdr:ext cx="3000375" cy="371475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1018731-349F-4D6E-A833-CE096342D8C8}"/>
            </a:ext>
          </a:extLst>
        </xdr:cNvPr>
        <xdr:cNvSpPr txBox="1"/>
      </xdr:nvSpPr>
      <xdr:spPr>
        <a:xfrm>
          <a:off x="1695449" y="5648324"/>
          <a:ext cx="3000375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Preço = f (ano +</a:t>
          </a:r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quilometragem</a:t>
          </a:r>
          <a:r>
            <a:rPr lang="pt-B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pt-BR" b="1">
            <a:effectLst/>
          </a:endParaRPr>
        </a:p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E9B1F-08DB-4B4E-82EA-06280C0FDA6D}" name="Tabela1" displayName="Tabela1" ref="C12:F27" totalsRowShown="0" headerRowDxfId="59" dataDxfId="58">
  <autoFilter ref="C12:F27" xr:uid="{3BD2A602-334D-476E-8525-B7130DA2D1F0}"/>
  <tableColumns count="4">
    <tableColumn id="1" xr3:uid="{8283C9DB-8162-4A46-A6BC-0997333DFD66}" name="Observação" dataDxfId="57"/>
    <tableColumn id="2" xr3:uid="{CA91A883-72F9-49E7-89F9-7E03C5BD6ABE}" name="Ano" dataDxfId="56"/>
    <tableColumn id="3" xr3:uid="{9042B127-A66D-432B-A7DA-8B24188B266A}" name="Quilometragem " dataDxfId="55"/>
    <tableColumn id="4" xr3:uid="{C4E2AD18-36A6-47B9-8AAD-5BB9C1BABA88}" name="Preço (R$)" dataDxfId="5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D9ABB-69DC-4817-96DF-95E94C0278A6}" name="Tabela13" displayName="Tabela13" ref="C44:F59" totalsRowShown="0" headerRowDxfId="53" dataDxfId="52">
  <autoFilter ref="C44:F59" xr:uid="{1DBA32BC-73D5-4CBB-BC0A-F3BED412401C}"/>
  <tableColumns count="4">
    <tableColumn id="1" xr3:uid="{69E4582E-2648-4158-84C6-828157CEE9E0}" name="Observação" dataDxfId="51"/>
    <tableColumn id="2" xr3:uid="{2D44843D-C784-4DD0-B79B-64B8ADF54744}" name="Ano" dataDxfId="50"/>
    <tableColumn id="3" xr3:uid="{7E68F4C3-9838-415B-92BB-2C72D881C1AD}" name="Manutenção ano (R$)" dataDxfId="49"/>
    <tableColumn id="4" xr3:uid="{DA48A086-A6D2-4156-8F76-6A4A03E382E3}" name="Preço (R$)" dataDxfId="4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28490C-EA85-4E72-9ACA-D81530B087D3}" name="Tabela111" displayName="Tabela111" ref="C77:F92" totalsRowShown="0" headerRowDxfId="47" dataDxfId="46">
  <autoFilter ref="C77:F92" xr:uid="{80AE8543-D00D-4AC5-9B42-FAE4003CC683}"/>
  <tableColumns count="4">
    <tableColumn id="1" xr3:uid="{4C8D2D90-8408-403B-B5A0-1E6DB80FB85C}" name="Observação" dataDxfId="45"/>
    <tableColumn id="2" xr3:uid="{6C131D28-7EA0-475F-9601-2CB44B92D434}" name="Ano" dataDxfId="44"/>
    <tableColumn id="3" xr3:uid="{E11C1252-8EBD-4AC5-BB09-B2980FEAF4D1}" name="Quilometragem " dataDxfId="43"/>
    <tableColumn id="4" xr3:uid="{BD9446C9-C71F-4645-9948-9397D5C6154C}" name="Preço (R$)" dataDxfId="4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DE39A6-1E24-4211-B94C-C5AF3BF324F2}" name="Tabela14" displayName="Tabela14" ref="D10:G25" totalsRowShown="0" headerRowDxfId="41" dataDxfId="40">
  <autoFilter ref="D10:G25" xr:uid="{D1895680-42AC-4807-B07E-BBF7C14D24BD}"/>
  <tableColumns count="4">
    <tableColumn id="1" xr3:uid="{A1A80CF7-0CE0-4FF9-894B-5A3E68DF5675}" name="Observação" dataDxfId="39"/>
    <tableColumn id="2" xr3:uid="{8F0B54DB-DCE8-4E09-B73F-34A4C16DF61C}" name="Ano" dataDxfId="38"/>
    <tableColumn id="3" xr3:uid="{279EEAF9-4A35-46C8-B5B8-34D8B511B587}" name="Quilometragem " dataDxfId="37"/>
    <tableColumn id="4" xr3:uid="{E0117AD1-23A6-4706-BA8C-C15AB0D2F2B6}" name="Preço (R$)" dataDxfId="36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9038FD-E698-442D-B09F-82A3137A58EB}" name="Tabela135" displayName="Tabela135" ref="D31:G46" totalsRowShown="0" headerRowDxfId="35" dataDxfId="34">
  <autoFilter ref="D31:G46" xr:uid="{53C06F98-4F7B-4183-BF8C-FD9A358AFAB3}"/>
  <tableColumns count="4">
    <tableColumn id="1" xr3:uid="{5460AA38-3975-4040-BA31-4431C7FD43D6}" name="Observação" dataDxfId="33"/>
    <tableColumn id="2" xr3:uid="{C2C687F7-A2A2-4320-9283-51F2F60C1187}" name="Ano" dataDxfId="32"/>
    <tableColumn id="3" xr3:uid="{9A3C4139-B18F-4D17-9C55-92CE9FF5DA39}" name="Manutenção ano (R$)" dataDxfId="31"/>
    <tableColumn id="4" xr3:uid="{263130C0-6F8D-4741-8E5E-6FE4BE1E2E76}" name="Preço (R$)" dataDxfId="30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A042FE-F1BA-45C0-B9EF-ED9336C66ED7}" name="Tabela5" displayName="Tabela5" ref="C10:F25" totalsRowShown="0" headerRowDxfId="29" dataDxfId="28">
  <autoFilter ref="C10:F25" xr:uid="{47D66F12-8633-4966-91AA-E177DFEA6FA0}"/>
  <tableColumns count="4">
    <tableColumn id="1" xr3:uid="{799B32A8-5F2B-4F19-95DC-CAC2B900AE84}" name="Eventos" dataDxfId="27"/>
    <tableColumn id="2" xr3:uid="{A02709B7-53E9-44F5-8069-242A878E5042}" name="Ano de fabricação" dataDxfId="26"/>
    <tableColumn id="3" xr3:uid="{1C62D833-8696-4072-A3C6-DC13869DA8B5}" name="Quilometragem" dataDxfId="25"/>
    <tableColumn id="4" xr3:uid="{147399B4-7E48-4238-A48F-43639F363EC0}" name="Preço (R$)" dataDxfId="24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F8A4C1-C4A8-4008-A6DB-88011FF61174}" name="Tabela578" displayName="Tabela578" ref="C42:F57" totalsRowShown="0" headerRowDxfId="23" dataDxfId="22">
  <autoFilter ref="C42:F57" xr:uid="{A47ABA45-15F9-49EB-98BF-E544AEEC6108}"/>
  <tableColumns count="4">
    <tableColumn id="1" xr3:uid="{00019C2D-09F3-4218-AF2D-4A5232380D82}" name="Eventos" dataDxfId="21"/>
    <tableColumn id="2" xr3:uid="{FB20121F-95F5-429A-8759-4C99EA8E72D6}" name="Ano de fabricação" dataDxfId="20"/>
    <tableColumn id="3" xr3:uid="{B0BD4677-1A55-461C-A857-0A1418CB4BC7}" name="Manutenção" dataDxfId="19"/>
    <tableColumn id="4" xr3:uid="{5088AB1F-FC95-42B9-ACA4-1F174E92F35D}" name="Preço (R$)" dataDxfId="18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CA2098-0CDE-40BB-BA5F-F6FCD3418DC0}" name="Tabela57" displayName="Tabela57" ref="C75:F90" totalsRowShown="0" headerRowDxfId="5" dataDxfId="4">
  <autoFilter ref="C75:F90" xr:uid="{1FCA7549-A1E5-4F22-BC15-77EF4A37FD9A}"/>
  <tableColumns count="4">
    <tableColumn id="1" xr3:uid="{7E780B09-40B3-4D2D-94C8-14220ADCC191}" name="Eventos" dataDxfId="3"/>
    <tableColumn id="2" xr3:uid="{16AB3BC5-710B-4106-AC87-1CDEB3FE21C3}" name="Ano de fabricação" dataDxfId="2"/>
    <tableColumn id="3" xr3:uid="{736B96FC-4898-4FA0-AEB8-03F14314AC6E}" name="Quilometragem" dataDxfId="1"/>
    <tableColumn id="4" xr3:uid="{4236572A-A728-4B72-B726-5E7F83509E5B}" name="Preço (R$)" dataDxfId="0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3E127E-3798-4717-92AB-EA161F35A195}" name="Tabela59" displayName="Tabela59" ref="C10:F25" totalsRowShown="0" headerRowDxfId="17" dataDxfId="16">
  <autoFilter ref="C10:F25" xr:uid="{CEE85A45-D84C-45FA-A12C-8CC3A229A591}"/>
  <tableColumns count="4">
    <tableColumn id="1" xr3:uid="{7BD2604D-03C6-459D-A38D-1F8A7FD5BDCB}" name="Eventos" dataDxfId="15"/>
    <tableColumn id="2" xr3:uid="{DDE7B71C-1506-46A3-87CE-C7C4760DDFEE}" name="Ano de fabricação" dataDxfId="14"/>
    <tableColumn id="3" xr3:uid="{FD262CD3-4A88-4218-B838-A60A9EE0D7DD}" name="Quilometragem" dataDxfId="13"/>
    <tableColumn id="4" xr3:uid="{C4F436F2-717A-4D06-9693-FE18601D48C1}" name="Preço (R$)" dataDxfId="12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2D7E85-752D-4407-8726-09DC4DE88DFC}" name="Tabela57810" displayName="Tabela57810" ref="C32:F47" totalsRowShown="0" headerRowDxfId="11" dataDxfId="10">
  <autoFilter ref="C32:F47" xr:uid="{7AD2A17E-35D8-49A3-B423-85F9C2EF476E}"/>
  <tableColumns count="4">
    <tableColumn id="1" xr3:uid="{C0C1458E-C970-4B76-9BF0-D3FAB03D9E38}" name="Eventos" dataDxfId="9"/>
    <tableColumn id="2" xr3:uid="{36C64205-4B04-4CBE-BC54-CCEFE46916A7}" name="Ano de fabricação" dataDxfId="8"/>
    <tableColumn id="3" xr3:uid="{CF70EBA6-AFE2-41B9-8F1C-025862343063}" name="Manutenção" dataDxfId="7"/>
    <tableColumn id="4" xr3:uid="{288E606F-7FF5-4981-BCE6-F8E26F32B4AD}" name="Preço (R$)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631A-05F4-4CB9-950B-25C5807D2FBA}">
  <dimension ref="C10:P106"/>
  <sheetViews>
    <sheetView topLeftCell="A100" workbookViewId="0">
      <selection activeCell="I49" sqref="I49"/>
    </sheetView>
  </sheetViews>
  <sheetFormatPr defaultRowHeight="15" x14ac:dyDescent="0.25"/>
  <cols>
    <col min="3" max="3" width="14.42578125" customWidth="1"/>
    <col min="4" max="4" width="17.42578125" customWidth="1"/>
    <col min="5" max="5" width="23" customWidth="1"/>
    <col min="6" max="6" width="20" customWidth="1"/>
    <col min="8" max="8" width="21.85546875" customWidth="1"/>
    <col min="9" max="9" width="12.85546875" customWidth="1"/>
    <col min="10" max="10" width="13.5703125" customWidth="1"/>
    <col min="12" max="12" width="13.28515625" customWidth="1"/>
    <col min="13" max="13" width="16.7109375" customWidth="1"/>
    <col min="14" max="14" width="19.28515625" customWidth="1"/>
    <col min="15" max="15" width="17.42578125" customWidth="1"/>
    <col min="16" max="16" width="16" customWidth="1"/>
  </cols>
  <sheetData>
    <row r="10" spans="3:9" ht="23.25" x14ac:dyDescent="0.35">
      <c r="C10" s="22" t="s">
        <v>35</v>
      </c>
      <c r="D10" s="22"/>
    </row>
    <row r="12" spans="3:9" x14ac:dyDescent="0.25">
      <c r="C12" s="6" t="s">
        <v>0</v>
      </c>
      <c r="D12" s="6" t="s">
        <v>1</v>
      </c>
      <c r="E12" s="6" t="s">
        <v>2</v>
      </c>
      <c r="F12" s="6" t="s">
        <v>3</v>
      </c>
      <c r="H12" t="s">
        <v>4</v>
      </c>
    </row>
    <row r="13" spans="3:9" ht="15.75" thickBot="1" x14ac:dyDescent="0.3">
      <c r="C13" s="6">
        <v>1</v>
      </c>
      <c r="D13" s="6">
        <v>2012</v>
      </c>
      <c r="E13" s="6">
        <v>28937</v>
      </c>
      <c r="F13" s="6">
        <v>22000</v>
      </c>
    </row>
    <row r="14" spans="3:9" x14ac:dyDescent="0.25">
      <c r="C14" s="6">
        <v>2</v>
      </c>
      <c r="D14" s="6">
        <v>2015</v>
      </c>
      <c r="E14" s="6">
        <v>67500</v>
      </c>
      <c r="F14" s="6">
        <v>32100</v>
      </c>
      <c r="H14" s="5" t="s">
        <v>5</v>
      </c>
      <c r="I14" s="5"/>
    </row>
    <row r="15" spans="3:9" x14ac:dyDescent="0.25">
      <c r="C15" s="6">
        <v>3</v>
      </c>
      <c r="D15" s="6">
        <v>2013</v>
      </c>
      <c r="E15" s="6">
        <v>85000</v>
      </c>
      <c r="F15" s="6">
        <v>18900</v>
      </c>
      <c r="H15" s="2" t="s">
        <v>6</v>
      </c>
      <c r="I15" s="2">
        <v>0.69735571669062879</v>
      </c>
    </row>
    <row r="16" spans="3:9" x14ac:dyDescent="0.25">
      <c r="C16" s="6">
        <v>4</v>
      </c>
      <c r="D16" s="6">
        <v>2015</v>
      </c>
      <c r="E16" s="6">
        <v>36841</v>
      </c>
      <c r="F16" s="6">
        <v>45000</v>
      </c>
      <c r="H16" s="2" t="s">
        <v>7</v>
      </c>
      <c r="I16" s="2">
        <v>0.48630499560110046</v>
      </c>
    </row>
    <row r="17" spans="3:16" x14ac:dyDescent="0.25">
      <c r="C17" s="6">
        <v>5</v>
      </c>
      <c r="D17" s="6">
        <v>2015</v>
      </c>
      <c r="E17" s="6">
        <v>41200</v>
      </c>
      <c r="F17" s="6">
        <v>32490</v>
      </c>
      <c r="H17" s="2" t="s">
        <v>8</v>
      </c>
      <c r="I17" s="2">
        <v>0.40068916153461726</v>
      </c>
    </row>
    <row r="18" spans="3:16" x14ac:dyDescent="0.25">
      <c r="C18" s="6">
        <v>6</v>
      </c>
      <c r="D18" s="6">
        <v>2015</v>
      </c>
      <c r="E18" s="6">
        <v>32000</v>
      </c>
      <c r="F18" s="6">
        <v>33500</v>
      </c>
      <c r="H18" s="2" t="s">
        <v>9</v>
      </c>
      <c r="I18" s="2">
        <v>4947.331930012092</v>
      </c>
    </row>
    <row r="19" spans="3:16" ht="15.75" thickBot="1" x14ac:dyDescent="0.3">
      <c r="C19" s="6">
        <v>7</v>
      </c>
      <c r="D19" s="6">
        <v>2014</v>
      </c>
      <c r="E19" s="6">
        <v>48000</v>
      </c>
      <c r="F19" s="6">
        <v>35200</v>
      </c>
      <c r="H19" s="3" t="s">
        <v>10</v>
      </c>
      <c r="I19" s="3">
        <v>15</v>
      </c>
    </row>
    <row r="20" spans="3:16" x14ac:dyDescent="0.25">
      <c r="C20" s="6">
        <v>8</v>
      </c>
      <c r="D20" s="6">
        <v>2015</v>
      </c>
      <c r="E20" s="6">
        <v>46000</v>
      </c>
      <c r="F20" s="6">
        <v>31890</v>
      </c>
    </row>
    <row r="21" spans="3:16" ht="15.75" thickBot="1" x14ac:dyDescent="0.3">
      <c r="C21" s="6">
        <v>9</v>
      </c>
      <c r="D21" s="6">
        <v>2016</v>
      </c>
      <c r="E21" s="6">
        <v>35000</v>
      </c>
      <c r="F21" s="6">
        <v>33000</v>
      </c>
      <c r="H21" t="s">
        <v>11</v>
      </c>
    </row>
    <row r="22" spans="3:16" x14ac:dyDescent="0.25">
      <c r="C22" s="6">
        <v>10</v>
      </c>
      <c r="D22" s="6">
        <v>2017</v>
      </c>
      <c r="E22" s="6">
        <v>39389</v>
      </c>
      <c r="F22" s="6">
        <v>35700</v>
      </c>
      <c r="H22" s="4"/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</row>
    <row r="23" spans="3:16" x14ac:dyDescent="0.25">
      <c r="C23" s="6">
        <v>11</v>
      </c>
      <c r="D23" s="6">
        <v>2018</v>
      </c>
      <c r="E23" s="6">
        <v>14000</v>
      </c>
      <c r="F23" s="6">
        <v>37900</v>
      </c>
      <c r="H23" s="2" t="s">
        <v>12</v>
      </c>
      <c r="I23" s="2">
        <v>2</v>
      </c>
      <c r="J23" s="2">
        <v>278052454.62472737</v>
      </c>
      <c r="K23" s="2">
        <v>139026227.31236368</v>
      </c>
      <c r="L23" s="2">
        <v>5.6800824392304587</v>
      </c>
      <c r="M23" s="2">
        <v>1.8375199114063056E-2</v>
      </c>
    </row>
    <row r="24" spans="3:16" x14ac:dyDescent="0.25">
      <c r="C24" s="6">
        <v>12</v>
      </c>
      <c r="D24" s="6">
        <v>2014</v>
      </c>
      <c r="E24" s="6">
        <v>108000</v>
      </c>
      <c r="F24" s="6">
        <v>33590</v>
      </c>
      <c r="H24" s="2" t="s">
        <v>13</v>
      </c>
      <c r="I24" s="2">
        <v>12</v>
      </c>
      <c r="J24" s="2">
        <v>293713118.708606</v>
      </c>
      <c r="K24" s="2">
        <v>24476093.225717168</v>
      </c>
      <c r="L24" s="2"/>
      <c r="M24" s="2"/>
    </row>
    <row r="25" spans="3:16" ht="15.75" thickBot="1" x14ac:dyDescent="0.3">
      <c r="C25" s="6">
        <v>13</v>
      </c>
      <c r="D25" s="6">
        <v>2015</v>
      </c>
      <c r="E25" s="6">
        <v>40000</v>
      </c>
      <c r="F25" s="6">
        <v>31800</v>
      </c>
      <c r="H25" s="3" t="s">
        <v>14</v>
      </c>
      <c r="I25" s="3">
        <v>14</v>
      </c>
      <c r="J25" s="3">
        <v>571765573.33333337</v>
      </c>
      <c r="K25" s="3"/>
      <c r="L25" s="3"/>
      <c r="M25" s="3"/>
    </row>
    <row r="26" spans="3:16" ht="15.75" thickBot="1" x14ac:dyDescent="0.3">
      <c r="C26" s="6">
        <v>14</v>
      </c>
      <c r="D26" s="6">
        <v>2012</v>
      </c>
      <c r="E26" s="6">
        <v>35775</v>
      </c>
      <c r="F26" s="6">
        <v>23900</v>
      </c>
    </row>
    <row r="27" spans="3:16" ht="15.75" x14ac:dyDescent="0.25">
      <c r="C27" s="6">
        <v>15</v>
      </c>
      <c r="D27" s="6">
        <v>2015</v>
      </c>
      <c r="E27" s="6">
        <v>60143</v>
      </c>
      <c r="F27" s="6">
        <v>31000</v>
      </c>
      <c r="H27" s="4"/>
      <c r="I27" s="4" t="s">
        <v>21</v>
      </c>
      <c r="J27" s="4" t="s">
        <v>9</v>
      </c>
      <c r="K27" s="4" t="s">
        <v>22</v>
      </c>
      <c r="L27" s="4" t="s">
        <v>23</v>
      </c>
      <c r="M27" s="16" t="s">
        <v>24</v>
      </c>
      <c r="N27" s="16" t="s">
        <v>25</v>
      </c>
      <c r="O27" s="4" t="s">
        <v>26</v>
      </c>
      <c r="P27" s="4" t="s">
        <v>27</v>
      </c>
    </row>
    <row r="28" spans="3:16" ht="15.75" x14ac:dyDescent="0.25">
      <c r="H28" s="2" t="s">
        <v>15</v>
      </c>
      <c r="I28" s="12">
        <v>-5422926.8755486254</v>
      </c>
      <c r="J28" s="12">
        <v>1732137.2775178524</v>
      </c>
      <c r="K28" s="12">
        <v>-3.1307719924598953</v>
      </c>
      <c r="L28" s="10">
        <v>8.6794039479065142E-3</v>
      </c>
      <c r="M28" s="17">
        <v>-9196929.7985493876</v>
      </c>
      <c r="N28" s="17">
        <v>-1648923.9525478641</v>
      </c>
      <c r="O28" s="2">
        <v>-9196929.7985493876</v>
      </c>
      <c r="P28" s="2">
        <v>-1648923.9525478641</v>
      </c>
    </row>
    <row r="29" spans="3:16" ht="15.75" x14ac:dyDescent="0.25">
      <c r="H29" s="2" t="s">
        <v>28</v>
      </c>
      <c r="I29" s="12">
        <v>2707.6248886436083</v>
      </c>
      <c r="J29" s="12">
        <v>859.2873822138306</v>
      </c>
      <c r="K29" s="12">
        <v>3.1510120417080971</v>
      </c>
      <c r="L29" s="10">
        <v>8.3592049745462478E-3</v>
      </c>
      <c r="M29" s="17">
        <v>835.39851590494686</v>
      </c>
      <c r="N29" s="17">
        <v>4579.8512613822695</v>
      </c>
      <c r="O29" s="2">
        <v>835.39851590494686</v>
      </c>
      <c r="P29" s="2">
        <v>4579.8512613822695</v>
      </c>
    </row>
    <row r="30" spans="3:16" ht="16.5" thickBot="1" x14ac:dyDescent="0.3">
      <c r="H30" s="3" t="s">
        <v>29</v>
      </c>
      <c r="I30" s="13">
        <v>-7.32618607118169E-3</v>
      </c>
      <c r="J30" s="13">
        <v>5.8741893865186252E-2</v>
      </c>
      <c r="K30" s="13">
        <v>-0.12471824772955779</v>
      </c>
      <c r="L30" s="11">
        <v>0.90281152162482881</v>
      </c>
      <c r="M30" s="18">
        <v>-0.13531377806360015</v>
      </c>
      <c r="N30" s="18">
        <v>0.12066140592123678</v>
      </c>
      <c r="O30" s="3">
        <v>-0.13531377806360015</v>
      </c>
      <c r="P30" s="3">
        <v>0.12066140592123678</v>
      </c>
    </row>
    <row r="33" spans="3:9" x14ac:dyDescent="0.25">
      <c r="H33">
        <f>((I29-M29)/J29)</f>
        <v>2.1788128296672284</v>
      </c>
    </row>
    <row r="34" spans="3:9" x14ac:dyDescent="0.25">
      <c r="H34">
        <f>((I30-M30)/J30)</f>
        <v>2.1788128296672284</v>
      </c>
    </row>
    <row r="44" spans="3:9" x14ac:dyDescent="0.25">
      <c r="C44" s="6" t="s">
        <v>0</v>
      </c>
      <c r="D44" s="6" t="s">
        <v>1</v>
      </c>
      <c r="E44" s="6" t="s">
        <v>30</v>
      </c>
      <c r="F44" s="6" t="s">
        <v>3</v>
      </c>
      <c r="H44" t="s">
        <v>4</v>
      </c>
    </row>
    <row r="45" spans="3:9" ht="15.75" thickBot="1" x14ac:dyDescent="0.3">
      <c r="C45" s="6">
        <v>1</v>
      </c>
      <c r="D45" s="6">
        <v>2012</v>
      </c>
      <c r="E45" s="9">
        <v>2187</v>
      </c>
      <c r="F45" s="6">
        <v>22000</v>
      </c>
    </row>
    <row r="46" spans="3:9" x14ac:dyDescent="0.25">
      <c r="C46" s="6">
        <v>2</v>
      </c>
      <c r="D46" s="6">
        <v>2015</v>
      </c>
      <c r="E46" s="9">
        <v>1993</v>
      </c>
      <c r="F46" s="6">
        <v>32100</v>
      </c>
      <c r="H46" s="5" t="s">
        <v>5</v>
      </c>
      <c r="I46" s="5"/>
    </row>
    <row r="47" spans="3:9" x14ac:dyDescent="0.25">
      <c r="C47" s="6">
        <v>3</v>
      </c>
      <c r="D47" s="6">
        <v>2013</v>
      </c>
      <c r="E47" s="9">
        <v>1707</v>
      </c>
      <c r="F47" s="6">
        <v>18900</v>
      </c>
      <c r="H47" s="2" t="s">
        <v>6</v>
      </c>
      <c r="I47" s="2">
        <v>0.98960789987409947</v>
      </c>
    </row>
    <row r="48" spans="3:9" x14ac:dyDescent="0.25">
      <c r="C48" s="6">
        <v>4</v>
      </c>
      <c r="D48" s="6">
        <v>2015</v>
      </c>
      <c r="E48" s="9">
        <v>2792</v>
      </c>
      <c r="F48" s="6">
        <v>45000</v>
      </c>
      <c r="H48" s="2" t="s">
        <v>7</v>
      </c>
      <c r="I48" s="2">
        <v>0.97932379549322579</v>
      </c>
    </row>
    <row r="49" spans="3:16" x14ac:dyDescent="0.25">
      <c r="C49" s="6">
        <v>5</v>
      </c>
      <c r="D49" s="6">
        <v>2015</v>
      </c>
      <c r="E49" s="9">
        <v>2155</v>
      </c>
      <c r="F49" s="6">
        <v>32490</v>
      </c>
      <c r="H49" s="2" t="s">
        <v>8</v>
      </c>
      <c r="I49" s="2">
        <v>0.97587776140876337</v>
      </c>
    </row>
    <row r="50" spans="3:16" x14ac:dyDescent="0.25">
      <c r="C50" s="6">
        <v>6</v>
      </c>
      <c r="D50" s="6">
        <v>2015</v>
      </c>
      <c r="E50" s="9">
        <v>2179</v>
      </c>
      <c r="F50" s="6">
        <v>33500</v>
      </c>
      <c r="H50" s="2" t="s">
        <v>9</v>
      </c>
      <c r="I50" s="2">
        <v>992.55318598774033</v>
      </c>
    </row>
    <row r="51" spans="3:16" ht="15.75" thickBot="1" x14ac:dyDescent="0.3">
      <c r="C51" s="6">
        <v>7</v>
      </c>
      <c r="D51" s="6">
        <v>2014</v>
      </c>
      <c r="E51" s="9">
        <v>2498</v>
      </c>
      <c r="F51" s="6">
        <v>35200</v>
      </c>
      <c r="H51" s="3" t="s">
        <v>10</v>
      </c>
      <c r="I51" s="3">
        <v>15</v>
      </c>
    </row>
    <row r="52" spans="3:16" x14ac:dyDescent="0.25">
      <c r="C52" s="6">
        <v>8</v>
      </c>
      <c r="D52" s="6">
        <v>2015</v>
      </c>
      <c r="E52" s="9">
        <v>1989</v>
      </c>
      <c r="F52" s="6">
        <v>31890</v>
      </c>
    </row>
    <row r="53" spans="3:16" ht="15.75" thickBot="1" x14ac:dyDescent="0.3">
      <c r="C53" s="6">
        <v>9</v>
      </c>
      <c r="D53" s="6">
        <v>2016</v>
      </c>
      <c r="E53" s="9">
        <v>1881</v>
      </c>
      <c r="F53" s="6">
        <v>33000</v>
      </c>
      <c r="H53" t="s">
        <v>11</v>
      </c>
    </row>
    <row r="54" spans="3:16" x14ac:dyDescent="0.25">
      <c r="C54" s="6">
        <v>10</v>
      </c>
      <c r="D54" s="6">
        <v>2017</v>
      </c>
      <c r="E54" s="9">
        <v>1779</v>
      </c>
      <c r="F54" s="6">
        <v>35700</v>
      </c>
      <c r="H54" s="4"/>
      <c r="I54" s="4" t="s">
        <v>16</v>
      </c>
      <c r="J54" s="4" t="s">
        <v>17</v>
      </c>
      <c r="K54" s="4" t="s">
        <v>18</v>
      </c>
      <c r="L54" s="4" t="s">
        <v>19</v>
      </c>
      <c r="M54" s="4" t="s">
        <v>20</v>
      </c>
    </row>
    <row r="55" spans="3:16" x14ac:dyDescent="0.25">
      <c r="C55" s="6">
        <v>11</v>
      </c>
      <c r="D55" s="6">
        <v>2018</v>
      </c>
      <c r="E55" s="9">
        <v>1778</v>
      </c>
      <c r="F55" s="6">
        <v>37900</v>
      </c>
      <c r="H55" s="2" t="s">
        <v>12</v>
      </c>
      <c r="I55" s="2">
        <v>2</v>
      </c>
      <c r="J55" s="2">
        <v>559943631.40916038</v>
      </c>
      <c r="K55" s="2">
        <v>279971815.70458019</v>
      </c>
      <c r="L55" s="2">
        <v>284.188656145001</v>
      </c>
      <c r="M55" s="2">
        <v>7.8131275550579092E-11</v>
      </c>
    </row>
    <row r="56" spans="3:16" x14ac:dyDescent="0.25">
      <c r="C56" s="6">
        <v>12</v>
      </c>
      <c r="D56" s="6">
        <v>2014</v>
      </c>
      <c r="E56" s="9">
        <v>2383</v>
      </c>
      <c r="F56" s="6">
        <v>33590</v>
      </c>
      <c r="H56" s="2" t="s">
        <v>13</v>
      </c>
      <c r="I56" s="2">
        <v>12</v>
      </c>
      <c r="J56" s="2">
        <v>11821941.924172966</v>
      </c>
      <c r="K56" s="2">
        <v>985161.82701441378</v>
      </c>
      <c r="L56" s="2"/>
      <c r="M56" s="2"/>
    </row>
    <row r="57" spans="3:16" ht="15.75" thickBot="1" x14ac:dyDescent="0.3">
      <c r="C57" s="6">
        <v>13</v>
      </c>
      <c r="D57" s="6">
        <v>2015</v>
      </c>
      <c r="E57" s="9">
        <v>1977</v>
      </c>
      <c r="F57" s="6">
        <v>31800</v>
      </c>
      <c r="H57" s="3" t="s">
        <v>14</v>
      </c>
      <c r="I57" s="3">
        <v>14</v>
      </c>
      <c r="J57" s="3">
        <v>571765573.33333337</v>
      </c>
      <c r="K57" s="3"/>
      <c r="L57" s="3"/>
      <c r="M57" s="3"/>
    </row>
    <row r="58" spans="3:16" ht="15.75" thickBot="1" x14ac:dyDescent="0.3">
      <c r="C58" s="6">
        <v>14</v>
      </c>
      <c r="D58" s="6">
        <v>2012</v>
      </c>
      <c r="E58" s="9">
        <v>2377</v>
      </c>
      <c r="F58" s="6">
        <v>23900</v>
      </c>
    </row>
    <row r="59" spans="3:16" ht="15.75" x14ac:dyDescent="0.25">
      <c r="C59" s="6">
        <v>15</v>
      </c>
      <c r="D59" s="6">
        <v>2015</v>
      </c>
      <c r="E59" s="9">
        <v>1923</v>
      </c>
      <c r="F59" s="6">
        <v>31000</v>
      </c>
      <c r="H59" s="4"/>
      <c r="I59" s="4" t="s">
        <v>21</v>
      </c>
      <c r="J59" s="4" t="s">
        <v>9</v>
      </c>
      <c r="K59" s="4" t="s">
        <v>22</v>
      </c>
      <c r="L59" s="4" t="s">
        <v>23</v>
      </c>
      <c r="M59" s="19" t="s">
        <v>24</v>
      </c>
      <c r="N59" s="19" t="s">
        <v>25</v>
      </c>
      <c r="O59" s="4" t="s">
        <v>26</v>
      </c>
      <c r="P59" s="4" t="s">
        <v>27</v>
      </c>
    </row>
    <row r="60" spans="3:16" ht="15.75" x14ac:dyDescent="0.25">
      <c r="H60" s="2" t="s">
        <v>15</v>
      </c>
      <c r="I60" s="14">
        <v>-7985998.5585683296</v>
      </c>
      <c r="J60" s="14">
        <v>360521.57683683577</v>
      </c>
      <c r="K60" s="14">
        <v>-22.151236074790106</v>
      </c>
      <c r="L60" s="2">
        <v>4.2184690591992662E-11</v>
      </c>
      <c r="M60" s="17">
        <v>-8771507.5955522861</v>
      </c>
      <c r="N60" s="17">
        <v>-7200489.521584372</v>
      </c>
      <c r="O60" s="2">
        <v>-8771507.5955522861</v>
      </c>
      <c r="P60" s="2">
        <v>-7200489.521584372</v>
      </c>
    </row>
    <row r="61" spans="3:16" ht="15.75" x14ac:dyDescent="0.25">
      <c r="H61" s="2" t="s">
        <v>28</v>
      </c>
      <c r="I61" s="14">
        <v>3962.7055436009014</v>
      </c>
      <c r="J61" s="14">
        <v>178.53666515621595</v>
      </c>
      <c r="K61" s="14">
        <v>22.195471950445668</v>
      </c>
      <c r="L61" s="2">
        <v>4.1208605590874752E-11</v>
      </c>
      <c r="M61" s="17">
        <v>3573.7075669925362</v>
      </c>
      <c r="N61" s="17">
        <v>4351.7035202092666</v>
      </c>
      <c r="O61" s="2">
        <v>3573.7075669925362</v>
      </c>
      <c r="P61" s="2">
        <v>4351.7035202092666</v>
      </c>
    </row>
    <row r="62" spans="3:16" ht="16.5" thickBot="1" x14ac:dyDescent="0.3">
      <c r="H62" s="3" t="s">
        <v>29</v>
      </c>
      <c r="I62" s="15">
        <v>16.172673756633486</v>
      </c>
      <c r="J62" s="15">
        <v>0.95543642701155584</v>
      </c>
      <c r="K62" s="15">
        <v>16.927001419883982</v>
      </c>
      <c r="L62" s="3">
        <v>9.6860683665712204E-10</v>
      </c>
      <c r="M62" s="18">
        <v>14.090956611529291</v>
      </c>
      <c r="N62" s="18">
        <v>18.254390901737679</v>
      </c>
      <c r="O62" s="3">
        <v>14.090956611529291</v>
      </c>
      <c r="P62" s="3">
        <v>18.254390901737679</v>
      </c>
    </row>
    <row r="64" spans="3:16" x14ac:dyDescent="0.25">
      <c r="H64">
        <f>((I61-M61)/J61)</f>
        <v>2.1788128296672276</v>
      </c>
    </row>
    <row r="65" spans="3:9" x14ac:dyDescent="0.25">
      <c r="H65">
        <f>((I62-M62)/J62)</f>
        <v>2.1788128296672289</v>
      </c>
    </row>
    <row r="77" spans="3:9" x14ac:dyDescent="0.25">
      <c r="C77" s="6" t="s">
        <v>0</v>
      </c>
      <c r="D77" s="6" t="s">
        <v>1</v>
      </c>
      <c r="E77" s="6" t="s">
        <v>2</v>
      </c>
      <c r="F77" s="6" t="s">
        <v>3</v>
      </c>
      <c r="H77" t="s">
        <v>4</v>
      </c>
    </row>
    <row r="78" spans="3:9" ht="15.75" thickBot="1" x14ac:dyDescent="0.3">
      <c r="C78" s="6">
        <v>1</v>
      </c>
      <c r="D78" s="6">
        <v>2012</v>
      </c>
      <c r="E78" s="6">
        <v>28937</v>
      </c>
      <c r="F78" s="6">
        <v>22000</v>
      </c>
    </row>
    <row r="79" spans="3:9" x14ac:dyDescent="0.25">
      <c r="C79" s="6">
        <v>2</v>
      </c>
      <c r="D79" s="6">
        <v>2015</v>
      </c>
      <c r="E79" s="6">
        <v>67500</v>
      </c>
      <c r="F79" s="6">
        <v>32100</v>
      </c>
      <c r="H79" s="5" t="s">
        <v>5</v>
      </c>
      <c r="I79" s="5"/>
    </row>
    <row r="80" spans="3:9" x14ac:dyDescent="0.25">
      <c r="C80" s="6">
        <v>3</v>
      </c>
      <c r="D80" s="6">
        <v>2013</v>
      </c>
      <c r="E80" s="6">
        <v>85000</v>
      </c>
      <c r="F80" s="6">
        <v>18900</v>
      </c>
      <c r="H80" s="2" t="s">
        <v>6</v>
      </c>
      <c r="I80" s="2">
        <v>0.69687813411394417</v>
      </c>
    </row>
    <row r="81" spans="3:16" x14ac:dyDescent="0.25">
      <c r="C81" s="6">
        <v>4</v>
      </c>
      <c r="D81" s="6">
        <v>2015</v>
      </c>
      <c r="E81" s="6">
        <v>36841</v>
      </c>
      <c r="F81" s="6">
        <v>45000</v>
      </c>
      <c r="H81" s="2" t="s">
        <v>7</v>
      </c>
      <c r="I81" s="2">
        <v>0.48563913380613233</v>
      </c>
    </row>
    <row r="82" spans="3:16" x14ac:dyDescent="0.25">
      <c r="C82" s="6">
        <v>5</v>
      </c>
      <c r="D82" s="6">
        <v>2015</v>
      </c>
      <c r="E82" s="6">
        <v>41200</v>
      </c>
      <c r="F82" s="6">
        <v>32490</v>
      </c>
      <c r="H82" s="2" t="s">
        <v>8</v>
      </c>
      <c r="I82" s="2">
        <v>0.44607291332968096</v>
      </c>
    </row>
    <row r="83" spans="3:16" x14ac:dyDescent="0.25">
      <c r="C83" s="6">
        <v>6</v>
      </c>
      <c r="D83" s="6">
        <v>2015</v>
      </c>
      <c r="E83" s="6">
        <v>32000</v>
      </c>
      <c r="F83" s="6">
        <v>33500</v>
      </c>
      <c r="H83" s="2" t="s">
        <v>9</v>
      </c>
      <c r="I83" s="2">
        <v>4756.3223960693922</v>
      </c>
    </row>
    <row r="84" spans="3:16" ht="15.75" thickBot="1" x14ac:dyDescent="0.3">
      <c r="C84" s="6">
        <v>7</v>
      </c>
      <c r="D84" s="6">
        <v>2014</v>
      </c>
      <c r="E84" s="6">
        <v>48000</v>
      </c>
      <c r="F84" s="6">
        <v>35200</v>
      </c>
      <c r="H84" s="3" t="s">
        <v>10</v>
      </c>
      <c r="I84" s="3">
        <v>15</v>
      </c>
    </row>
    <row r="85" spans="3:16" x14ac:dyDescent="0.25">
      <c r="C85" s="6">
        <v>8</v>
      </c>
      <c r="D85" s="6">
        <v>2015</v>
      </c>
      <c r="E85" s="6">
        <v>46000</v>
      </c>
      <c r="F85" s="6">
        <v>31890</v>
      </c>
    </row>
    <row r="86" spans="3:16" ht="15.75" thickBot="1" x14ac:dyDescent="0.3">
      <c r="C86" s="6">
        <v>9</v>
      </c>
      <c r="D86" s="6">
        <v>2016</v>
      </c>
      <c r="E86" s="6">
        <v>35000</v>
      </c>
      <c r="F86" s="6">
        <v>33000</v>
      </c>
      <c r="H86" t="s">
        <v>11</v>
      </c>
    </row>
    <row r="87" spans="3:16" x14ac:dyDescent="0.25">
      <c r="C87" s="6">
        <v>10</v>
      </c>
      <c r="D87" s="6">
        <v>2017</v>
      </c>
      <c r="E87" s="6">
        <v>39389</v>
      </c>
      <c r="F87" s="6">
        <v>35700</v>
      </c>
      <c r="H87" s="4"/>
      <c r="I87" s="4" t="s">
        <v>16</v>
      </c>
      <c r="J87" s="4" t="s">
        <v>17</v>
      </c>
      <c r="K87" s="4" t="s">
        <v>18</v>
      </c>
      <c r="L87" s="4" t="s">
        <v>19</v>
      </c>
      <c r="M87" s="4" t="s">
        <v>20</v>
      </c>
    </row>
    <row r="88" spans="3:16" x14ac:dyDescent="0.25">
      <c r="C88" s="6">
        <v>11</v>
      </c>
      <c r="D88" s="6">
        <v>2018</v>
      </c>
      <c r="E88" s="6">
        <v>14000</v>
      </c>
      <c r="F88" s="6">
        <v>37900</v>
      </c>
      <c r="H88" s="2" t="s">
        <v>12</v>
      </c>
      <c r="I88" s="2">
        <v>1</v>
      </c>
      <c r="J88" s="2">
        <v>277671737.77376664</v>
      </c>
      <c r="K88" s="2">
        <v>277671737.77376664</v>
      </c>
      <c r="L88" s="2">
        <v>12.274084508404595</v>
      </c>
      <c r="M88" s="2">
        <v>3.8883214914344766E-3</v>
      </c>
    </row>
    <row r="89" spans="3:16" x14ac:dyDescent="0.25">
      <c r="C89" s="6">
        <v>12</v>
      </c>
      <c r="D89" s="6">
        <v>2014</v>
      </c>
      <c r="E89" s="6">
        <v>108000</v>
      </c>
      <c r="F89" s="6">
        <v>33590</v>
      </c>
      <c r="H89" s="2" t="s">
        <v>13</v>
      </c>
      <c r="I89" s="2">
        <v>13</v>
      </c>
      <c r="J89" s="2">
        <v>294093835.55956674</v>
      </c>
      <c r="K89" s="2">
        <v>22622602.735351287</v>
      </c>
      <c r="L89" s="2"/>
      <c r="M89" s="2"/>
    </row>
    <row r="90" spans="3:16" ht="15.75" thickBot="1" x14ac:dyDescent="0.3">
      <c r="C90" s="6">
        <v>13</v>
      </c>
      <c r="D90" s="6">
        <v>2015</v>
      </c>
      <c r="E90" s="6">
        <v>40000</v>
      </c>
      <c r="F90" s="6">
        <v>31800</v>
      </c>
      <c r="H90" s="3" t="s">
        <v>14</v>
      </c>
      <c r="I90" s="3">
        <v>14</v>
      </c>
      <c r="J90" s="3">
        <v>571765573.33333337</v>
      </c>
      <c r="K90" s="3"/>
      <c r="L90" s="3"/>
      <c r="M90" s="3"/>
    </row>
    <row r="91" spans="3:16" ht="15.75" thickBot="1" x14ac:dyDescent="0.3">
      <c r="C91" s="6">
        <v>14</v>
      </c>
      <c r="D91" s="6">
        <v>2012</v>
      </c>
      <c r="E91" s="6">
        <v>35775</v>
      </c>
      <c r="F91" s="6">
        <v>23900</v>
      </c>
    </row>
    <row r="92" spans="3:16" x14ac:dyDescent="0.25">
      <c r="C92" s="6">
        <v>15</v>
      </c>
      <c r="D92" s="6">
        <v>2015</v>
      </c>
      <c r="E92" s="6">
        <v>60143</v>
      </c>
      <c r="F92" s="6">
        <v>31000</v>
      </c>
      <c r="H92" s="4"/>
      <c r="I92" s="4" t="s">
        <v>21</v>
      </c>
      <c r="J92" s="4" t="s">
        <v>9</v>
      </c>
      <c r="K92" s="4" t="s">
        <v>22</v>
      </c>
      <c r="L92" s="4" t="s">
        <v>23</v>
      </c>
      <c r="M92" s="4" t="s">
        <v>24</v>
      </c>
      <c r="N92" s="4" t="s">
        <v>25</v>
      </c>
      <c r="O92" s="4" t="s">
        <v>26</v>
      </c>
      <c r="P92" s="4" t="s">
        <v>27</v>
      </c>
    </row>
    <row r="93" spans="3:16" x14ac:dyDescent="0.25">
      <c r="H93" s="2" t="s">
        <v>15</v>
      </c>
      <c r="I93" s="14">
        <v>-5492395.9386281613</v>
      </c>
      <c r="J93" s="14">
        <v>1576811.3423399813</v>
      </c>
      <c r="K93" s="14">
        <v>-3.4832295983344901</v>
      </c>
      <c r="L93" s="12">
        <v>4.0419840388818355E-3</v>
      </c>
      <c r="M93" s="14">
        <v>-8898889.7397744805</v>
      </c>
      <c r="N93" s="14">
        <v>-2085902.1374818431</v>
      </c>
      <c r="O93" s="2">
        <v>-8898889.7397744805</v>
      </c>
      <c r="P93" s="2">
        <v>-2085902.1374818431</v>
      </c>
    </row>
    <row r="94" spans="3:16" ht="15.75" thickBot="1" x14ac:dyDescent="0.3">
      <c r="H94" s="3" t="s">
        <v>28</v>
      </c>
      <c r="I94" s="15">
        <v>2741.9314079422397</v>
      </c>
      <c r="J94" s="15">
        <v>782.63998416895424</v>
      </c>
      <c r="K94" s="15">
        <v>3.5034389545708655</v>
      </c>
      <c r="L94" s="13">
        <v>3.8883214914344762E-3</v>
      </c>
      <c r="M94" s="15">
        <v>1051.1405168490949</v>
      </c>
      <c r="N94" s="15">
        <v>4432.7222990353848</v>
      </c>
      <c r="O94" s="3">
        <v>1051.1405168490949</v>
      </c>
      <c r="P94" s="3">
        <v>4432.7222990353848</v>
      </c>
    </row>
    <row r="106" spans="6:6" x14ac:dyDescent="0.25">
      <c r="F106">
        <f>((I94-M94)/J94)</f>
        <v>2.1603686564627926</v>
      </c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07CA-2770-44F4-B272-E83036E2CBFA}">
  <dimension ref="D10:G46"/>
  <sheetViews>
    <sheetView workbookViewId="0">
      <selection activeCell="J22" sqref="J22"/>
    </sheetView>
  </sheetViews>
  <sheetFormatPr defaultRowHeight="15" x14ac:dyDescent="0.25"/>
  <cols>
    <col min="4" max="4" width="13.7109375" customWidth="1"/>
    <col min="5" max="5" width="16" customWidth="1"/>
    <col min="6" max="6" width="17.140625" customWidth="1"/>
    <col min="7" max="7" width="28.140625" customWidth="1"/>
  </cols>
  <sheetData>
    <row r="10" spans="4:7" x14ac:dyDescent="0.25">
      <c r="D10" s="1" t="s">
        <v>0</v>
      </c>
      <c r="E10" s="1" t="s">
        <v>1</v>
      </c>
      <c r="F10" s="1" t="s">
        <v>2</v>
      </c>
      <c r="G10" s="1" t="s">
        <v>3</v>
      </c>
    </row>
    <row r="11" spans="4:7" x14ac:dyDescent="0.25">
      <c r="D11" s="1">
        <v>1</v>
      </c>
      <c r="E11" s="1">
        <v>2012</v>
      </c>
      <c r="F11" s="1">
        <v>28937</v>
      </c>
      <c r="G11" s="1">
        <v>22000</v>
      </c>
    </row>
    <row r="12" spans="4:7" x14ac:dyDescent="0.25">
      <c r="D12" s="1">
        <v>2</v>
      </c>
      <c r="E12" s="1">
        <v>2015</v>
      </c>
      <c r="F12" s="1">
        <v>67500</v>
      </c>
      <c r="G12" s="1">
        <v>32100</v>
      </c>
    </row>
    <row r="13" spans="4:7" x14ac:dyDescent="0.25">
      <c r="D13" s="1">
        <v>3</v>
      </c>
      <c r="E13" s="1">
        <v>2013</v>
      </c>
      <c r="F13" s="1">
        <v>85000</v>
      </c>
      <c r="G13" s="1">
        <v>18900</v>
      </c>
    </row>
    <row r="14" spans="4:7" x14ac:dyDescent="0.25">
      <c r="D14" s="1">
        <v>4</v>
      </c>
      <c r="E14" s="1">
        <v>2015</v>
      </c>
      <c r="F14" s="1">
        <v>36841</v>
      </c>
      <c r="G14" s="1">
        <v>45000</v>
      </c>
    </row>
    <row r="15" spans="4:7" x14ac:dyDescent="0.25">
      <c r="D15" s="1">
        <v>5</v>
      </c>
      <c r="E15" s="1">
        <v>2015</v>
      </c>
      <c r="F15" s="1">
        <v>41200</v>
      </c>
      <c r="G15" s="1">
        <v>32490</v>
      </c>
    </row>
    <row r="16" spans="4:7" x14ac:dyDescent="0.25">
      <c r="D16" s="1">
        <v>6</v>
      </c>
      <c r="E16" s="1">
        <v>2015</v>
      </c>
      <c r="F16" s="1">
        <v>32000</v>
      </c>
      <c r="G16" s="1">
        <v>33500</v>
      </c>
    </row>
    <row r="17" spans="4:7" x14ac:dyDescent="0.25">
      <c r="D17" s="1">
        <v>7</v>
      </c>
      <c r="E17" s="1">
        <v>2014</v>
      </c>
      <c r="F17" s="1">
        <v>48000</v>
      </c>
      <c r="G17" s="1">
        <v>35200</v>
      </c>
    </row>
    <row r="18" spans="4:7" x14ac:dyDescent="0.25">
      <c r="D18" s="1">
        <v>8</v>
      </c>
      <c r="E18" s="1">
        <v>2015</v>
      </c>
      <c r="F18" s="1">
        <v>46000</v>
      </c>
      <c r="G18" s="1">
        <v>31890</v>
      </c>
    </row>
    <row r="19" spans="4:7" x14ac:dyDescent="0.25">
      <c r="D19" s="1">
        <v>9</v>
      </c>
      <c r="E19" s="1">
        <v>2016</v>
      </c>
      <c r="F19" s="1">
        <v>35000</v>
      </c>
      <c r="G19" s="1">
        <v>33000</v>
      </c>
    </row>
    <row r="20" spans="4:7" x14ac:dyDescent="0.25">
      <c r="D20" s="1">
        <v>10</v>
      </c>
      <c r="E20" s="1">
        <v>2017</v>
      </c>
      <c r="F20" s="1">
        <v>39389</v>
      </c>
      <c r="G20" s="1">
        <v>35700</v>
      </c>
    </row>
    <row r="21" spans="4:7" x14ac:dyDescent="0.25">
      <c r="D21" s="1">
        <v>11</v>
      </c>
      <c r="E21" s="1">
        <v>2018</v>
      </c>
      <c r="F21" s="1">
        <v>14000</v>
      </c>
      <c r="G21" s="1">
        <v>37900</v>
      </c>
    </row>
    <row r="22" spans="4:7" x14ac:dyDescent="0.25">
      <c r="D22" s="1">
        <v>12</v>
      </c>
      <c r="E22" s="1">
        <v>2014</v>
      </c>
      <c r="F22" s="1">
        <v>108000</v>
      </c>
      <c r="G22" s="1">
        <v>33590</v>
      </c>
    </row>
    <row r="23" spans="4:7" x14ac:dyDescent="0.25">
      <c r="D23" s="1">
        <v>13</v>
      </c>
      <c r="E23" s="1">
        <v>2015</v>
      </c>
      <c r="F23" s="1">
        <v>40000</v>
      </c>
      <c r="G23" s="1">
        <v>31800</v>
      </c>
    </row>
    <row r="24" spans="4:7" x14ac:dyDescent="0.25">
      <c r="D24" s="1">
        <v>14</v>
      </c>
      <c r="E24" s="1">
        <v>2012</v>
      </c>
      <c r="F24" s="1">
        <v>35775</v>
      </c>
      <c r="G24" s="1">
        <v>23900</v>
      </c>
    </row>
    <row r="25" spans="4:7" x14ac:dyDescent="0.25">
      <c r="D25" s="1">
        <v>15</v>
      </c>
      <c r="E25" s="1">
        <v>2015</v>
      </c>
      <c r="F25" s="1">
        <v>60143</v>
      </c>
      <c r="G25" s="1">
        <v>31000</v>
      </c>
    </row>
    <row r="31" spans="4:7" x14ac:dyDescent="0.25">
      <c r="D31" s="6" t="s">
        <v>0</v>
      </c>
      <c r="E31" s="6" t="s">
        <v>1</v>
      </c>
      <c r="F31" s="6" t="s">
        <v>30</v>
      </c>
      <c r="G31" s="6" t="s">
        <v>3</v>
      </c>
    </row>
    <row r="32" spans="4:7" x14ac:dyDescent="0.25">
      <c r="D32" s="6">
        <v>1</v>
      </c>
      <c r="E32" s="6">
        <v>2012</v>
      </c>
      <c r="F32" s="9">
        <v>2187</v>
      </c>
      <c r="G32" s="6">
        <v>22000</v>
      </c>
    </row>
    <row r="33" spans="4:7" x14ac:dyDescent="0.25">
      <c r="D33" s="6">
        <v>2</v>
      </c>
      <c r="E33" s="6">
        <v>2015</v>
      </c>
      <c r="F33" s="9">
        <v>1993</v>
      </c>
      <c r="G33" s="6">
        <v>32100</v>
      </c>
    </row>
    <row r="34" spans="4:7" x14ac:dyDescent="0.25">
      <c r="D34" s="6">
        <v>3</v>
      </c>
      <c r="E34" s="6">
        <v>2013</v>
      </c>
      <c r="F34" s="9">
        <v>1707</v>
      </c>
      <c r="G34" s="6">
        <v>18900</v>
      </c>
    </row>
    <row r="35" spans="4:7" x14ac:dyDescent="0.25">
      <c r="D35" s="6">
        <v>4</v>
      </c>
      <c r="E35" s="6">
        <v>2015</v>
      </c>
      <c r="F35" s="9">
        <v>2792</v>
      </c>
      <c r="G35" s="6">
        <v>45000</v>
      </c>
    </row>
    <row r="36" spans="4:7" x14ac:dyDescent="0.25">
      <c r="D36" s="6">
        <v>5</v>
      </c>
      <c r="E36" s="6">
        <v>2015</v>
      </c>
      <c r="F36" s="9">
        <v>2155</v>
      </c>
      <c r="G36" s="6">
        <v>32490</v>
      </c>
    </row>
    <row r="37" spans="4:7" x14ac:dyDescent="0.25">
      <c r="D37" s="6">
        <v>6</v>
      </c>
      <c r="E37" s="6">
        <v>2015</v>
      </c>
      <c r="F37" s="9">
        <v>2179</v>
      </c>
      <c r="G37" s="6">
        <v>33500</v>
      </c>
    </row>
    <row r="38" spans="4:7" x14ac:dyDescent="0.25">
      <c r="D38" s="6">
        <v>7</v>
      </c>
      <c r="E38" s="6">
        <v>2014</v>
      </c>
      <c r="F38" s="9">
        <v>2498</v>
      </c>
      <c r="G38" s="6">
        <v>35200</v>
      </c>
    </row>
    <row r="39" spans="4:7" x14ac:dyDescent="0.25">
      <c r="D39" s="6">
        <v>8</v>
      </c>
      <c r="E39" s="6">
        <v>2015</v>
      </c>
      <c r="F39" s="9">
        <v>1989</v>
      </c>
      <c r="G39" s="6">
        <v>31890</v>
      </c>
    </row>
    <row r="40" spans="4:7" x14ac:dyDescent="0.25">
      <c r="D40" s="6">
        <v>9</v>
      </c>
      <c r="E40" s="6">
        <v>2016</v>
      </c>
      <c r="F40" s="9">
        <v>1881</v>
      </c>
      <c r="G40" s="6">
        <v>33000</v>
      </c>
    </row>
    <row r="41" spans="4:7" x14ac:dyDescent="0.25">
      <c r="D41" s="6">
        <v>10</v>
      </c>
      <c r="E41" s="6">
        <v>2017</v>
      </c>
      <c r="F41" s="9">
        <v>1779</v>
      </c>
      <c r="G41" s="6">
        <v>35700</v>
      </c>
    </row>
    <row r="42" spans="4:7" x14ac:dyDescent="0.25">
      <c r="D42" s="6">
        <v>11</v>
      </c>
      <c r="E42" s="6">
        <v>2018</v>
      </c>
      <c r="F42" s="9">
        <v>1778</v>
      </c>
      <c r="G42" s="6">
        <v>37900</v>
      </c>
    </row>
    <row r="43" spans="4:7" x14ac:dyDescent="0.25">
      <c r="D43" s="6">
        <v>12</v>
      </c>
      <c r="E43" s="6">
        <v>2014</v>
      </c>
      <c r="F43" s="9">
        <v>2383</v>
      </c>
      <c r="G43" s="6">
        <v>33590</v>
      </c>
    </row>
    <row r="44" spans="4:7" x14ac:dyDescent="0.25">
      <c r="D44" s="6">
        <v>13</v>
      </c>
      <c r="E44" s="6">
        <v>2015</v>
      </c>
      <c r="F44" s="9">
        <v>1977</v>
      </c>
      <c r="G44" s="6">
        <v>31800</v>
      </c>
    </row>
    <row r="45" spans="4:7" x14ac:dyDescent="0.25">
      <c r="D45" s="6">
        <v>14</v>
      </c>
      <c r="E45" s="6">
        <v>2012</v>
      </c>
      <c r="F45" s="9">
        <v>2377</v>
      </c>
      <c r="G45" s="6">
        <v>23900</v>
      </c>
    </row>
    <row r="46" spans="4:7" x14ac:dyDescent="0.25">
      <c r="D46" s="6">
        <v>15</v>
      </c>
      <c r="E46" s="6">
        <v>2015</v>
      </c>
      <c r="F46" s="9">
        <v>1923</v>
      </c>
      <c r="G46" s="6">
        <v>31000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5433-701F-4284-8155-C61BC49C3168}">
  <dimension ref="C10:R104"/>
  <sheetViews>
    <sheetView tabSelected="1" workbookViewId="0">
      <selection activeCell="F108" sqref="F108"/>
    </sheetView>
  </sheetViews>
  <sheetFormatPr defaultRowHeight="15" x14ac:dyDescent="0.25"/>
  <cols>
    <col min="3" max="3" width="13.42578125" customWidth="1"/>
    <col min="4" max="4" width="20.85546875" customWidth="1"/>
    <col min="5" max="5" width="18.42578125" customWidth="1"/>
    <col min="6" max="6" width="19.5703125" customWidth="1"/>
    <col min="10" max="10" width="20.42578125" customWidth="1"/>
    <col min="11" max="11" width="15.85546875" customWidth="1"/>
    <col min="12" max="12" width="12.5703125" customWidth="1"/>
    <col min="14" max="14" width="15.42578125" customWidth="1"/>
    <col min="15" max="15" width="18.28515625" customWidth="1"/>
    <col min="16" max="16" width="19.5703125" customWidth="1"/>
    <col min="17" max="17" width="14.42578125" customWidth="1"/>
    <col min="18" max="18" width="18.140625" customWidth="1"/>
  </cols>
  <sheetData>
    <row r="10" spans="3:11" ht="15.75" x14ac:dyDescent="0.25">
      <c r="C10" s="7" t="s">
        <v>31</v>
      </c>
      <c r="D10" s="7" t="s">
        <v>32</v>
      </c>
      <c r="E10" s="7" t="s">
        <v>33</v>
      </c>
      <c r="F10" s="7" t="s">
        <v>3</v>
      </c>
      <c r="J10" t="s">
        <v>4</v>
      </c>
    </row>
    <row r="11" spans="3:11" ht="16.5" thickBot="1" x14ac:dyDescent="0.3">
      <c r="C11" s="7">
        <v>1</v>
      </c>
      <c r="D11" s="7">
        <v>2017</v>
      </c>
      <c r="E11" s="7">
        <v>19000</v>
      </c>
      <c r="F11" s="7">
        <v>51990</v>
      </c>
    </row>
    <row r="12" spans="3:11" ht="15.75" x14ac:dyDescent="0.25">
      <c r="C12" s="7">
        <v>2</v>
      </c>
      <c r="D12" s="7">
        <v>2013</v>
      </c>
      <c r="E12" s="7">
        <v>49500</v>
      </c>
      <c r="F12" s="7">
        <v>31000</v>
      </c>
      <c r="J12" s="5" t="s">
        <v>5</v>
      </c>
      <c r="K12" s="5"/>
    </row>
    <row r="13" spans="3:11" ht="15.75" x14ac:dyDescent="0.25">
      <c r="C13" s="7">
        <v>3</v>
      </c>
      <c r="D13" s="7">
        <v>2014</v>
      </c>
      <c r="E13" s="7">
        <v>41000</v>
      </c>
      <c r="F13" s="7">
        <v>39200</v>
      </c>
      <c r="J13" s="2" t="s">
        <v>6</v>
      </c>
      <c r="K13" s="2">
        <v>0.84353160750896061</v>
      </c>
    </row>
    <row r="14" spans="3:11" ht="15.75" x14ac:dyDescent="0.25">
      <c r="C14" s="7">
        <v>4</v>
      </c>
      <c r="D14" s="7">
        <v>2017</v>
      </c>
      <c r="E14" s="7">
        <v>18000</v>
      </c>
      <c r="F14" s="7">
        <v>49700</v>
      </c>
      <c r="J14" s="2" t="s">
        <v>7</v>
      </c>
      <c r="K14" s="2">
        <v>0.7115455728666511</v>
      </c>
    </row>
    <row r="15" spans="3:11" ht="15.75" x14ac:dyDescent="0.25">
      <c r="C15" s="7">
        <v>5</v>
      </c>
      <c r="D15" s="7">
        <v>2015</v>
      </c>
      <c r="E15" s="7">
        <v>27000</v>
      </c>
      <c r="F15" s="7">
        <v>37000</v>
      </c>
      <c r="J15" s="2" t="s">
        <v>8</v>
      </c>
      <c r="K15" s="2">
        <v>0.66346983501109291</v>
      </c>
    </row>
    <row r="16" spans="3:11" ht="15.75" x14ac:dyDescent="0.25">
      <c r="C16" s="7">
        <v>6</v>
      </c>
      <c r="D16" s="7">
        <v>2013</v>
      </c>
      <c r="E16" s="7">
        <v>24800</v>
      </c>
      <c r="F16" s="7">
        <v>24250</v>
      </c>
      <c r="J16" s="2" t="s">
        <v>9</v>
      </c>
      <c r="K16" s="2">
        <v>5095.7734710467166</v>
      </c>
    </row>
    <row r="17" spans="3:18" ht="16.5" thickBot="1" x14ac:dyDescent="0.3">
      <c r="C17" s="7">
        <v>7</v>
      </c>
      <c r="D17" s="7">
        <v>2016</v>
      </c>
      <c r="E17" s="7">
        <v>25900</v>
      </c>
      <c r="F17" s="7">
        <v>56500</v>
      </c>
      <c r="J17" s="3" t="s">
        <v>10</v>
      </c>
      <c r="K17" s="3">
        <v>15</v>
      </c>
    </row>
    <row r="18" spans="3:18" ht="15.75" x14ac:dyDescent="0.25">
      <c r="C18" s="7">
        <v>8</v>
      </c>
      <c r="D18" s="7">
        <v>2014</v>
      </c>
      <c r="E18" s="7">
        <v>43000</v>
      </c>
      <c r="F18" s="7">
        <v>43990</v>
      </c>
    </row>
    <row r="19" spans="3:18" ht="16.5" thickBot="1" x14ac:dyDescent="0.3">
      <c r="C19" s="7">
        <v>9</v>
      </c>
      <c r="D19" s="7">
        <v>2014</v>
      </c>
      <c r="E19" s="7">
        <v>29000</v>
      </c>
      <c r="F19" s="7">
        <v>39900</v>
      </c>
      <c r="J19" t="s">
        <v>11</v>
      </c>
    </row>
    <row r="20" spans="3:18" ht="15.75" x14ac:dyDescent="0.25">
      <c r="C20" s="7">
        <v>10</v>
      </c>
      <c r="D20" s="7">
        <v>2017</v>
      </c>
      <c r="E20" s="7">
        <v>12600</v>
      </c>
      <c r="F20" s="7">
        <v>53000</v>
      </c>
      <c r="J20" s="4"/>
      <c r="K20" s="4" t="s">
        <v>16</v>
      </c>
      <c r="L20" s="4" t="s">
        <v>17</v>
      </c>
      <c r="M20" s="4" t="s">
        <v>18</v>
      </c>
      <c r="N20" s="4" t="s">
        <v>19</v>
      </c>
      <c r="O20" s="4" t="s">
        <v>20</v>
      </c>
    </row>
    <row r="21" spans="3:18" ht="15.75" x14ac:dyDescent="0.25">
      <c r="C21" s="7">
        <v>11</v>
      </c>
      <c r="D21" s="7">
        <v>2013</v>
      </c>
      <c r="E21" s="7">
        <v>26000</v>
      </c>
      <c r="F21" s="7">
        <v>35000</v>
      </c>
      <c r="J21" s="2" t="s">
        <v>12</v>
      </c>
      <c r="K21" s="2">
        <v>2</v>
      </c>
      <c r="L21" s="2">
        <v>768647086.1146512</v>
      </c>
      <c r="M21" s="2">
        <v>384323543.0573256</v>
      </c>
      <c r="N21" s="2">
        <v>14.800512786812858</v>
      </c>
      <c r="O21" s="2">
        <v>5.760540745055094E-4</v>
      </c>
    </row>
    <row r="22" spans="3:18" ht="15.75" x14ac:dyDescent="0.25">
      <c r="C22" s="7">
        <v>12</v>
      </c>
      <c r="D22" s="7">
        <v>2015</v>
      </c>
      <c r="E22" s="7">
        <v>45500</v>
      </c>
      <c r="F22" s="7">
        <v>42000</v>
      </c>
      <c r="J22" s="2" t="s">
        <v>13</v>
      </c>
      <c r="K22" s="2">
        <v>12</v>
      </c>
      <c r="L22" s="2">
        <v>311602887.21868199</v>
      </c>
      <c r="M22" s="2">
        <v>25966907.268223498</v>
      </c>
      <c r="N22" s="2"/>
      <c r="O22" s="2"/>
    </row>
    <row r="23" spans="3:18" ht="16.5" thickBot="1" x14ac:dyDescent="0.3">
      <c r="C23" s="7">
        <v>13</v>
      </c>
      <c r="D23" s="7">
        <v>2016</v>
      </c>
      <c r="E23" s="7">
        <v>20000</v>
      </c>
      <c r="F23" s="7">
        <v>39900</v>
      </c>
      <c r="J23" s="3" t="s">
        <v>14</v>
      </c>
      <c r="K23" s="3">
        <v>14</v>
      </c>
      <c r="L23" s="3">
        <v>1080249973.3333333</v>
      </c>
      <c r="M23" s="3"/>
      <c r="N23" s="3"/>
      <c r="O23" s="3"/>
    </row>
    <row r="24" spans="3:18" ht="16.5" thickBot="1" x14ac:dyDescent="0.3">
      <c r="C24" s="7">
        <v>14</v>
      </c>
      <c r="D24" s="7">
        <v>2015</v>
      </c>
      <c r="E24" s="7">
        <v>30000</v>
      </c>
      <c r="F24" s="7">
        <v>35990</v>
      </c>
    </row>
    <row r="25" spans="3:18" ht="15.75" x14ac:dyDescent="0.25">
      <c r="C25" s="7">
        <v>15</v>
      </c>
      <c r="D25" s="7">
        <v>2016</v>
      </c>
      <c r="E25" s="7">
        <v>35000</v>
      </c>
      <c r="F25" s="7">
        <v>46900</v>
      </c>
      <c r="J25" s="4"/>
      <c r="K25" s="4" t="s">
        <v>21</v>
      </c>
      <c r="L25" s="4" t="s">
        <v>9</v>
      </c>
      <c r="M25" s="4" t="s">
        <v>22</v>
      </c>
      <c r="N25" s="4" t="s">
        <v>23</v>
      </c>
      <c r="O25" s="19" t="s">
        <v>24</v>
      </c>
      <c r="P25" s="19" t="s">
        <v>25</v>
      </c>
      <c r="Q25" s="4" t="s">
        <v>26</v>
      </c>
      <c r="R25" s="4" t="s">
        <v>27</v>
      </c>
    </row>
    <row r="26" spans="3:18" ht="15.75" x14ac:dyDescent="0.25">
      <c r="J26" s="2" t="s">
        <v>15</v>
      </c>
      <c r="K26" s="10">
        <v>-11414678.350373764</v>
      </c>
      <c r="L26" s="10">
        <v>2337472.7428625654</v>
      </c>
      <c r="M26" s="10">
        <v>-4.8833417994833503</v>
      </c>
      <c r="N26" s="2">
        <v>3.763882275819134E-4</v>
      </c>
      <c r="O26" s="20">
        <v>-16507593.951520167</v>
      </c>
      <c r="P26" s="20">
        <v>-6321762.7492273599</v>
      </c>
      <c r="Q26" s="2">
        <v>-16507593.951520167</v>
      </c>
      <c r="R26" s="2">
        <v>-6321762.7492273599</v>
      </c>
    </row>
    <row r="27" spans="3:18" ht="15.75" x14ac:dyDescent="0.25">
      <c r="J27" s="2" t="s">
        <v>28</v>
      </c>
      <c r="K27" s="10">
        <v>5683.2070394815019</v>
      </c>
      <c r="L27" s="10">
        <v>1158.6685744367014</v>
      </c>
      <c r="M27" s="10">
        <v>4.904946215741159</v>
      </c>
      <c r="N27" s="2">
        <v>3.6290169826364921E-4</v>
      </c>
      <c r="O27" s="20">
        <v>3158.6850841665787</v>
      </c>
      <c r="P27" s="20">
        <v>8207.7289947964255</v>
      </c>
      <c r="Q27" s="2">
        <v>3158.6850841665787</v>
      </c>
      <c r="R27" s="2">
        <v>8207.7289947964255</v>
      </c>
    </row>
    <row r="28" spans="3:18" ht="16.5" thickBot="1" x14ac:dyDescent="0.3">
      <c r="J28" s="3" t="s">
        <v>29</v>
      </c>
      <c r="K28" s="11">
        <v>0.160346151194345</v>
      </c>
      <c r="L28" s="11">
        <v>0.15519441644134704</v>
      </c>
      <c r="M28" s="11">
        <v>1.033195361477099</v>
      </c>
      <c r="N28" s="3">
        <v>0.32188653878830209</v>
      </c>
      <c r="O28" s="21">
        <v>-0.17779343444078058</v>
      </c>
      <c r="P28" s="21">
        <v>0.49848573682947062</v>
      </c>
      <c r="Q28" s="3">
        <v>-0.17779343444078058</v>
      </c>
      <c r="R28" s="3">
        <v>0.49848573682947062</v>
      </c>
    </row>
    <row r="32" spans="3:18" x14ac:dyDescent="0.25">
      <c r="J32">
        <f>((K27-O27)/L27)</f>
        <v>2.1788128296672284</v>
      </c>
    </row>
    <row r="33" spans="3:11" x14ac:dyDescent="0.25">
      <c r="J33">
        <f>((K28-O28)/L28)</f>
        <v>2.1788128296672284</v>
      </c>
    </row>
    <row r="42" spans="3:11" ht="15.75" x14ac:dyDescent="0.25">
      <c r="C42" s="7" t="s">
        <v>31</v>
      </c>
      <c r="D42" s="7" t="s">
        <v>32</v>
      </c>
      <c r="E42" s="7" t="s">
        <v>34</v>
      </c>
      <c r="F42" s="7" t="s">
        <v>3</v>
      </c>
      <c r="J42" t="s">
        <v>4</v>
      </c>
    </row>
    <row r="43" spans="3:11" ht="16.5" thickBot="1" x14ac:dyDescent="0.3">
      <c r="C43" s="7">
        <v>1</v>
      </c>
      <c r="D43" s="7">
        <v>2017</v>
      </c>
      <c r="E43" s="8">
        <v>2864</v>
      </c>
      <c r="F43" s="7">
        <v>51990</v>
      </c>
    </row>
    <row r="44" spans="3:11" ht="15.75" x14ac:dyDescent="0.25">
      <c r="C44" s="7">
        <v>2</v>
      </c>
      <c r="D44" s="7">
        <v>2013</v>
      </c>
      <c r="E44" s="8">
        <v>3080</v>
      </c>
      <c r="F44" s="7">
        <v>31000</v>
      </c>
      <c r="J44" s="5" t="s">
        <v>5</v>
      </c>
      <c r="K44" s="5"/>
    </row>
    <row r="45" spans="3:11" ht="15.75" x14ac:dyDescent="0.25">
      <c r="C45" s="7">
        <v>3</v>
      </c>
      <c r="D45" s="7">
        <v>2014</v>
      </c>
      <c r="E45" s="8">
        <v>3244</v>
      </c>
      <c r="F45" s="7">
        <v>39200</v>
      </c>
      <c r="J45" s="2" t="s">
        <v>6</v>
      </c>
      <c r="K45" s="2">
        <v>0.99484276044090636</v>
      </c>
    </row>
    <row r="46" spans="3:11" ht="15.75" x14ac:dyDescent="0.25">
      <c r="C46" s="7">
        <v>4</v>
      </c>
      <c r="D46" s="7">
        <v>2017</v>
      </c>
      <c r="E46" s="8">
        <v>2738</v>
      </c>
      <c r="F46" s="7">
        <v>49700</v>
      </c>
      <c r="J46" s="2" t="s">
        <v>7</v>
      </c>
      <c r="K46" s="2">
        <v>0.98971211800168257</v>
      </c>
    </row>
    <row r="47" spans="3:11" ht="15.75" x14ac:dyDescent="0.25">
      <c r="C47" s="7">
        <v>5</v>
      </c>
      <c r="D47" s="7">
        <v>2015</v>
      </c>
      <c r="E47" s="8">
        <v>2623</v>
      </c>
      <c r="F47" s="7">
        <v>37000</v>
      </c>
      <c r="J47" s="2" t="s">
        <v>8</v>
      </c>
      <c r="K47" s="2">
        <v>0.98799747100196311</v>
      </c>
    </row>
    <row r="48" spans="3:11" ht="15.75" x14ac:dyDescent="0.25">
      <c r="C48" s="7">
        <v>6</v>
      </c>
      <c r="D48" s="7">
        <v>2013</v>
      </c>
      <c r="E48" s="8">
        <v>2419</v>
      </c>
      <c r="F48" s="7">
        <v>24250</v>
      </c>
      <c r="J48" s="2" t="s">
        <v>9</v>
      </c>
      <c r="K48" s="2">
        <v>962.35320327911529</v>
      </c>
    </row>
    <row r="49" spans="3:18" ht="16.5" thickBot="1" x14ac:dyDescent="0.3">
      <c r="C49" s="7">
        <v>7</v>
      </c>
      <c r="D49" s="7">
        <v>2016</v>
      </c>
      <c r="E49" s="8">
        <v>3503</v>
      </c>
      <c r="F49" s="7">
        <v>56500</v>
      </c>
      <c r="J49" s="3" t="s">
        <v>10</v>
      </c>
      <c r="K49" s="3">
        <v>15</v>
      </c>
    </row>
    <row r="50" spans="3:18" ht="15.75" x14ac:dyDescent="0.25">
      <c r="C50" s="7">
        <v>8</v>
      </c>
      <c r="D50" s="7">
        <v>2014</v>
      </c>
      <c r="E50" s="8">
        <v>3640</v>
      </c>
      <c r="F50" s="7">
        <v>43990</v>
      </c>
    </row>
    <row r="51" spans="3:18" ht="16.5" thickBot="1" x14ac:dyDescent="0.3">
      <c r="C51" s="7">
        <v>9</v>
      </c>
      <c r="D51" s="7">
        <v>2014</v>
      </c>
      <c r="E51" s="8">
        <v>3301</v>
      </c>
      <c r="F51" s="7">
        <v>39900</v>
      </c>
      <c r="J51" t="s">
        <v>11</v>
      </c>
    </row>
    <row r="52" spans="3:18" ht="15.75" x14ac:dyDescent="0.25">
      <c r="C52" s="7">
        <v>10</v>
      </c>
      <c r="D52" s="7">
        <v>2017</v>
      </c>
      <c r="E52" s="8">
        <v>2920</v>
      </c>
      <c r="F52" s="7">
        <v>53000</v>
      </c>
      <c r="J52" s="4"/>
      <c r="K52" s="4" t="s">
        <v>16</v>
      </c>
      <c r="L52" s="4" t="s">
        <v>17</v>
      </c>
      <c r="M52" s="4" t="s">
        <v>18</v>
      </c>
      <c r="N52" s="4" t="s">
        <v>19</v>
      </c>
      <c r="O52" s="4" t="s">
        <v>20</v>
      </c>
    </row>
    <row r="53" spans="3:18" ht="15.75" x14ac:dyDescent="0.25">
      <c r="C53" s="7">
        <v>11</v>
      </c>
      <c r="D53" s="7">
        <v>2013</v>
      </c>
      <c r="E53" s="8">
        <v>3477</v>
      </c>
      <c r="F53" s="7">
        <v>35000</v>
      </c>
      <c r="J53" s="2" t="s">
        <v>12</v>
      </c>
      <c r="K53" s="2">
        <v>2</v>
      </c>
      <c r="L53" s="2">
        <v>1069136489.0789944</v>
      </c>
      <c r="M53" s="2">
        <v>534568244.5394972</v>
      </c>
      <c r="N53" s="2">
        <v>577.21042183233521</v>
      </c>
      <c r="O53" s="2">
        <v>1.1856481980278981E-12</v>
      </c>
    </row>
    <row r="54" spans="3:18" ht="15.75" x14ac:dyDescent="0.25">
      <c r="C54" s="7">
        <v>12</v>
      </c>
      <c r="D54" s="7">
        <v>2015</v>
      </c>
      <c r="E54" s="8">
        <v>2977</v>
      </c>
      <c r="F54" s="7">
        <v>42000</v>
      </c>
      <c r="J54" s="2" t="s">
        <v>13</v>
      </c>
      <c r="K54" s="2">
        <v>12</v>
      </c>
      <c r="L54" s="2">
        <v>11113484.25433889</v>
      </c>
      <c r="M54" s="2">
        <v>926123.68786157423</v>
      </c>
      <c r="N54" s="2"/>
      <c r="O54" s="2"/>
    </row>
    <row r="55" spans="3:18" ht="16.5" thickBot="1" x14ac:dyDescent="0.3">
      <c r="C55" s="7">
        <v>13</v>
      </c>
      <c r="D55" s="7">
        <v>2016</v>
      </c>
      <c r="E55" s="8">
        <v>2475</v>
      </c>
      <c r="F55" s="7">
        <v>39900</v>
      </c>
      <c r="J55" s="3" t="s">
        <v>14</v>
      </c>
      <c r="K55" s="3">
        <v>14</v>
      </c>
      <c r="L55" s="3">
        <v>1080249973.3333333</v>
      </c>
      <c r="M55" s="3"/>
      <c r="N55" s="3"/>
      <c r="O55" s="3"/>
    </row>
    <row r="56" spans="3:18" ht="16.5" thickBot="1" x14ac:dyDescent="0.3">
      <c r="C56" s="7">
        <v>14</v>
      </c>
      <c r="D56" s="7">
        <v>2015</v>
      </c>
      <c r="E56" s="8">
        <v>2552</v>
      </c>
      <c r="F56" s="7">
        <v>35990</v>
      </c>
    </row>
    <row r="57" spans="3:18" ht="15.75" x14ac:dyDescent="0.25">
      <c r="C57" s="7">
        <v>15</v>
      </c>
      <c r="D57" s="7">
        <v>2016</v>
      </c>
      <c r="E57" s="8">
        <v>2908</v>
      </c>
      <c r="F57" s="7">
        <v>46900</v>
      </c>
      <c r="J57" s="4"/>
      <c r="K57" s="4" t="s">
        <v>21</v>
      </c>
      <c r="L57" s="4" t="s">
        <v>9</v>
      </c>
      <c r="M57" s="4" t="s">
        <v>22</v>
      </c>
      <c r="N57" s="4" t="s">
        <v>23</v>
      </c>
      <c r="O57" s="4" t="s">
        <v>24</v>
      </c>
      <c r="P57" s="4" t="s">
        <v>25</v>
      </c>
      <c r="Q57" s="4" t="s">
        <v>26</v>
      </c>
      <c r="R57" s="4" t="s">
        <v>27</v>
      </c>
    </row>
    <row r="58" spans="3:18" x14ac:dyDescent="0.25">
      <c r="J58" s="2" t="s">
        <v>15</v>
      </c>
      <c r="K58" s="2">
        <v>-11940185.553589566</v>
      </c>
      <c r="L58" s="2">
        <v>369150.11766523286</v>
      </c>
      <c r="M58" s="2">
        <v>-32.345067716916269</v>
      </c>
      <c r="N58" s="2">
        <v>4.8206531846685332E-13</v>
      </c>
      <c r="O58" s="2">
        <v>-12744494.566031743</v>
      </c>
      <c r="P58" s="2">
        <v>-11135876.541147389</v>
      </c>
      <c r="Q58" s="2">
        <v>-12744494.566031743</v>
      </c>
      <c r="R58" s="2">
        <v>-11135876.541147389</v>
      </c>
    </row>
    <row r="59" spans="3:18" x14ac:dyDescent="0.25">
      <c r="J59" s="2" t="s">
        <v>28</v>
      </c>
      <c r="K59" s="2">
        <v>5927.1157098351468</v>
      </c>
      <c r="L59" s="2">
        <v>182.91394978102136</v>
      </c>
      <c r="M59" s="2">
        <v>32.403847366102461</v>
      </c>
      <c r="N59" s="2">
        <v>4.7178398925143723E-13</v>
      </c>
      <c r="O59" s="2">
        <v>5528.5804493271507</v>
      </c>
      <c r="P59" s="2">
        <v>6325.6509703431429</v>
      </c>
      <c r="Q59" s="2">
        <v>5528.5804493271507</v>
      </c>
      <c r="R59" s="2">
        <v>6325.6509703431429</v>
      </c>
    </row>
    <row r="60" spans="3:18" ht="15.75" thickBot="1" x14ac:dyDescent="0.3">
      <c r="J60" s="3" t="s">
        <v>29</v>
      </c>
      <c r="K60" s="3">
        <v>13.01471286590591</v>
      </c>
      <c r="L60" s="3">
        <v>0.69134355720701024</v>
      </c>
      <c r="M60" s="3">
        <v>18.825246478732847</v>
      </c>
      <c r="N60" s="3">
        <v>2.824389120269603E-10</v>
      </c>
      <c r="O60" s="3">
        <v>11.508404653755496</v>
      </c>
      <c r="P60" s="3">
        <v>14.521021078056323</v>
      </c>
      <c r="Q60" s="3">
        <v>11.508404653755496</v>
      </c>
      <c r="R60" s="3">
        <v>14.521021078056323</v>
      </c>
    </row>
    <row r="66" spans="3:11" x14ac:dyDescent="0.25">
      <c r="J66">
        <f>((K59-O59)/L59)</f>
        <v>2.1788128296672262</v>
      </c>
    </row>
    <row r="67" spans="3:11" x14ac:dyDescent="0.25">
      <c r="J67">
        <f>((K60-O60)/L60)</f>
        <v>2.1788128296672284</v>
      </c>
    </row>
    <row r="74" spans="3:11" x14ac:dyDescent="0.25">
      <c r="J74" t="s">
        <v>4</v>
      </c>
    </row>
    <row r="75" spans="3:11" ht="16.5" thickBot="1" x14ac:dyDescent="0.3">
      <c r="C75" s="7" t="s">
        <v>31</v>
      </c>
      <c r="D75" s="7" t="s">
        <v>32</v>
      </c>
      <c r="E75" s="7" t="s">
        <v>33</v>
      </c>
      <c r="F75" s="7" t="s">
        <v>3</v>
      </c>
    </row>
    <row r="76" spans="3:11" ht="15.75" x14ac:dyDescent="0.25">
      <c r="C76" s="7">
        <v>1</v>
      </c>
      <c r="D76" s="7">
        <v>2017</v>
      </c>
      <c r="E76" s="7">
        <v>19000</v>
      </c>
      <c r="F76" s="7">
        <v>51990</v>
      </c>
      <c r="J76" s="5" t="s">
        <v>5</v>
      </c>
      <c r="K76" s="5"/>
    </row>
    <row r="77" spans="3:11" ht="15.75" x14ac:dyDescent="0.25">
      <c r="C77" s="7">
        <v>2</v>
      </c>
      <c r="D77" s="7">
        <v>2013</v>
      </c>
      <c r="E77" s="7">
        <v>49500</v>
      </c>
      <c r="F77" s="7">
        <v>31000</v>
      </c>
      <c r="J77" s="2" t="s">
        <v>6</v>
      </c>
      <c r="K77" s="2">
        <v>0.82818193915644411</v>
      </c>
    </row>
    <row r="78" spans="3:11" ht="15.75" x14ac:dyDescent="0.25">
      <c r="C78" s="7">
        <v>3</v>
      </c>
      <c r="D78" s="7">
        <v>2014</v>
      </c>
      <c r="E78" s="7">
        <v>41000</v>
      </c>
      <c r="F78" s="7">
        <v>39200</v>
      </c>
      <c r="J78" s="2" t="s">
        <v>7</v>
      </c>
      <c r="K78" s="2">
        <v>0.6858853243449281</v>
      </c>
    </row>
    <row r="79" spans="3:11" ht="15.75" x14ac:dyDescent="0.25">
      <c r="C79" s="7">
        <v>4</v>
      </c>
      <c r="D79" s="7">
        <v>2017</v>
      </c>
      <c r="E79" s="7">
        <v>18000</v>
      </c>
      <c r="F79" s="7">
        <v>49700</v>
      </c>
      <c r="J79" s="2" t="s">
        <v>8</v>
      </c>
      <c r="K79" s="2">
        <v>0.66172265698684563</v>
      </c>
    </row>
    <row r="80" spans="3:11" ht="15.75" x14ac:dyDescent="0.25">
      <c r="C80" s="7">
        <v>5</v>
      </c>
      <c r="D80" s="7">
        <v>2015</v>
      </c>
      <c r="E80" s="7">
        <v>27000</v>
      </c>
      <c r="F80" s="7">
        <v>37000</v>
      </c>
      <c r="J80" s="2" t="s">
        <v>9</v>
      </c>
      <c r="K80" s="2">
        <v>5108.9843187497427</v>
      </c>
    </row>
    <row r="81" spans="3:18" ht="16.5" thickBot="1" x14ac:dyDescent="0.3">
      <c r="C81" s="7">
        <v>6</v>
      </c>
      <c r="D81" s="7">
        <v>2013</v>
      </c>
      <c r="E81" s="7">
        <v>24800</v>
      </c>
      <c r="F81" s="7">
        <v>24250</v>
      </c>
      <c r="J81" s="3" t="s">
        <v>10</v>
      </c>
      <c r="K81" s="3">
        <v>15</v>
      </c>
    </row>
    <row r="82" spans="3:18" ht="15.75" x14ac:dyDescent="0.25">
      <c r="C82" s="7">
        <v>7</v>
      </c>
      <c r="D82" s="7">
        <v>2016</v>
      </c>
      <c r="E82" s="7">
        <v>25900</v>
      </c>
      <c r="F82" s="7">
        <v>56500</v>
      </c>
    </row>
    <row r="83" spans="3:18" ht="16.5" thickBot="1" x14ac:dyDescent="0.3">
      <c r="C83" s="7">
        <v>8</v>
      </c>
      <c r="D83" s="7">
        <v>2014</v>
      </c>
      <c r="E83" s="7">
        <v>43000</v>
      </c>
      <c r="F83" s="7">
        <v>43990</v>
      </c>
      <c r="J83" t="s">
        <v>11</v>
      </c>
    </row>
    <row r="84" spans="3:18" ht="15.75" x14ac:dyDescent="0.25">
      <c r="C84" s="7">
        <v>9</v>
      </c>
      <c r="D84" s="7">
        <v>2014</v>
      </c>
      <c r="E84" s="7">
        <v>29000</v>
      </c>
      <c r="F84" s="7">
        <v>39900</v>
      </c>
      <c r="J84" s="4"/>
      <c r="K84" s="4" t="s">
        <v>16</v>
      </c>
      <c r="L84" s="4" t="s">
        <v>17</v>
      </c>
      <c r="M84" s="4" t="s">
        <v>18</v>
      </c>
      <c r="N84" s="4" t="s">
        <v>19</v>
      </c>
      <c r="O84" s="4" t="s">
        <v>20</v>
      </c>
    </row>
    <row r="85" spans="3:18" ht="15.75" x14ac:dyDescent="0.25">
      <c r="C85" s="7">
        <v>10</v>
      </c>
      <c r="D85" s="7">
        <v>2017</v>
      </c>
      <c r="E85" s="7">
        <v>12600</v>
      </c>
      <c r="F85" s="7">
        <v>53000</v>
      </c>
      <c r="J85" s="2" t="s">
        <v>12</v>
      </c>
      <c r="K85" s="2">
        <v>1</v>
      </c>
      <c r="L85" s="2">
        <v>740927603.33333325</v>
      </c>
      <c r="M85" s="2">
        <v>740927603.33333325</v>
      </c>
      <c r="N85" s="2">
        <v>28.386159283672722</v>
      </c>
      <c r="O85" s="2">
        <v>1.3711803278752629E-4</v>
      </c>
    </row>
    <row r="86" spans="3:18" ht="15.75" x14ac:dyDescent="0.25">
      <c r="C86" s="7">
        <v>11</v>
      </c>
      <c r="D86" s="7">
        <v>2013</v>
      </c>
      <c r="E86" s="7">
        <v>26000</v>
      </c>
      <c r="F86" s="7">
        <v>35000</v>
      </c>
      <c r="J86" s="2" t="s">
        <v>13</v>
      </c>
      <c r="K86" s="2">
        <v>13</v>
      </c>
      <c r="L86" s="2">
        <v>339322370.00000006</v>
      </c>
      <c r="M86" s="2">
        <v>26101720.769230776</v>
      </c>
      <c r="N86" s="2"/>
      <c r="O86" s="2"/>
    </row>
    <row r="87" spans="3:18" ht="16.5" thickBot="1" x14ac:dyDescent="0.3">
      <c r="C87" s="7">
        <v>12</v>
      </c>
      <c r="D87" s="7">
        <v>2015</v>
      </c>
      <c r="E87" s="7">
        <v>45500</v>
      </c>
      <c r="F87" s="7">
        <v>42000</v>
      </c>
      <c r="J87" s="3" t="s">
        <v>14</v>
      </c>
      <c r="K87" s="3">
        <v>14</v>
      </c>
      <c r="L87" s="3">
        <v>1080249973.3333333</v>
      </c>
      <c r="M87" s="3"/>
      <c r="N87" s="3"/>
      <c r="O87" s="3"/>
    </row>
    <row r="88" spans="3:18" ht="16.5" thickBot="1" x14ac:dyDescent="0.3">
      <c r="C88" s="7">
        <v>13</v>
      </c>
      <c r="D88" s="7">
        <v>2016</v>
      </c>
      <c r="E88" s="7">
        <v>20000</v>
      </c>
      <c r="F88" s="7">
        <v>39900</v>
      </c>
    </row>
    <row r="89" spans="3:18" ht="15.75" x14ac:dyDescent="0.25">
      <c r="C89" s="7">
        <v>14</v>
      </c>
      <c r="D89" s="7">
        <v>2015</v>
      </c>
      <c r="E89" s="7">
        <v>30000</v>
      </c>
      <c r="F89" s="7">
        <v>35990</v>
      </c>
      <c r="J89" s="4"/>
      <c r="K89" s="4" t="s">
        <v>21</v>
      </c>
      <c r="L89" s="4" t="s">
        <v>9</v>
      </c>
      <c r="M89" s="4" t="s">
        <v>22</v>
      </c>
      <c r="N89" s="4" t="s">
        <v>23</v>
      </c>
      <c r="O89" s="4" t="s">
        <v>24</v>
      </c>
      <c r="P89" s="4" t="s">
        <v>25</v>
      </c>
      <c r="Q89" s="4" t="s">
        <v>26</v>
      </c>
      <c r="R89" s="4" t="s">
        <v>27</v>
      </c>
    </row>
    <row r="90" spans="3:18" ht="15.75" x14ac:dyDescent="0.25">
      <c r="C90" s="7">
        <v>15</v>
      </c>
      <c r="D90" s="7">
        <v>2016</v>
      </c>
      <c r="E90" s="7">
        <v>35000</v>
      </c>
      <c r="F90" s="7">
        <v>46900</v>
      </c>
      <c r="J90" s="2" t="s">
        <v>15</v>
      </c>
      <c r="K90" s="2">
        <v>-9972123.6666666698</v>
      </c>
      <c r="L90" s="2">
        <v>1879529.2975786207</v>
      </c>
      <c r="M90" s="2">
        <v>-5.3056494940055785</v>
      </c>
      <c r="N90" s="2">
        <v>1.4247136240725806E-4</v>
      </c>
      <c r="O90" s="2">
        <v>-14032599.850059051</v>
      </c>
      <c r="P90" s="2">
        <v>-5911647.4832742885</v>
      </c>
      <c r="Q90" s="2">
        <v>-14032599.850059051</v>
      </c>
      <c r="R90" s="2">
        <v>-5911647.4832742885</v>
      </c>
    </row>
    <row r="91" spans="3:18" ht="15.75" thickBot="1" x14ac:dyDescent="0.3">
      <c r="J91" s="3" t="s">
        <v>28</v>
      </c>
      <c r="K91" s="3">
        <v>4969.6666666666679</v>
      </c>
      <c r="L91" s="3">
        <v>932.7686524397991</v>
      </c>
      <c r="M91" s="3">
        <v>5.327866297465877</v>
      </c>
      <c r="N91" s="3">
        <v>1.3711803278752569E-4</v>
      </c>
      <c r="O91" s="3">
        <v>2954.5425062046897</v>
      </c>
      <c r="P91" s="3">
        <v>6984.790827128646</v>
      </c>
      <c r="Q91" s="3">
        <v>2954.5425062046897</v>
      </c>
      <c r="R91" s="3">
        <v>6984.790827128646</v>
      </c>
    </row>
    <row r="104" spans="10:10" x14ac:dyDescent="0.25">
      <c r="J104">
        <f>((K91-O91)/L91)</f>
        <v>2.1603686564627922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A4C1-62A5-4125-A899-87ABD60F3719}">
  <dimension ref="C10:F47"/>
  <sheetViews>
    <sheetView workbookViewId="0">
      <selection activeCell="J28" sqref="J28"/>
    </sheetView>
  </sheetViews>
  <sheetFormatPr defaultRowHeight="15" x14ac:dyDescent="0.25"/>
  <cols>
    <col min="3" max="3" width="16" customWidth="1"/>
    <col min="4" max="4" width="15.5703125" customWidth="1"/>
    <col min="5" max="5" width="15.42578125" customWidth="1"/>
    <col min="6" max="6" width="17.42578125" customWidth="1"/>
  </cols>
  <sheetData>
    <row r="10" spans="3:6" ht="15.75" x14ac:dyDescent="0.25">
      <c r="C10" s="7" t="s">
        <v>31</v>
      </c>
      <c r="D10" s="7" t="s">
        <v>32</v>
      </c>
      <c r="E10" s="7" t="s">
        <v>33</v>
      </c>
      <c r="F10" s="7" t="s">
        <v>3</v>
      </c>
    </row>
    <row r="11" spans="3:6" ht="15.75" x14ac:dyDescent="0.25">
      <c r="C11" s="7">
        <v>1</v>
      </c>
      <c r="D11" s="7">
        <v>2017</v>
      </c>
      <c r="E11" s="7">
        <v>19000</v>
      </c>
      <c r="F11" s="7">
        <v>51990</v>
      </c>
    </row>
    <row r="12" spans="3:6" ht="15.75" x14ac:dyDescent="0.25">
      <c r="C12" s="7">
        <v>2</v>
      </c>
      <c r="D12" s="7">
        <v>2013</v>
      </c>
      <c r="E12" s="7">
        <v>49500</v>
      </c>
      <c r="F12" s="7">
        <v>31000</v>
      </c>
    </row>
    <row r="13" spans="3:6" ht="15.75" x14ac:dyDescent="0.25">
      <c r="C13" s="7">
        <v>3</v>
      </c>
      <c r="D13" s="7">
        <v>2014</v>
      </c>
      <c r="E13" s="7">
        <v>41000</v>
      </c>
      <c r="F13" s="7">
        <v>39200</v>
      </c>
    </row>
    <row r="14" spans="3:6" ht="15.75" x14ac:dyDescent="0.25">
      <c r="C14" s="7">
        <v>4</v>
      </c>
      <c r="D14" s="7">
        <v>2017</v>
      </c>
      <c r="E14" s="7">
        <v>18000</v>
      </c>
      <c r="F14" s="7">
        <v>49700</v>
      </c>
    </row>
    <row r="15" spans="3:6" ht="15.75" x14ac:dyDescent="0.25">
      <c r="C15" s="7">
        <v>5</v>
      </c>
      <c r="D15" s="7">
        <v>2015</v>
      </c>
      <c r="E15" s="7">
        <v>27000</v>
      </c>
      <c r="F15" s="7">
        <v>37000</v>
      </c>
    </row>
    <row r="16" spans="3:6" ht="15.75" x14ac:dyDescent="0.25">
      <c r="C16" s="7">
        <v>6</v>
      </c>
      <c r="D16" s="7">
        <v>2013</v>
      </c>
      <c r="E16" s="7">
        <v>24800</v>
      </c>
      <c r="F16" s="7">
        <v>24250</v>
      </c>
    </row>
    <row r="17" spans="3:6" ht="15.75" x14ac:dyDescent="0.25">
      <c r="C17" s="7">
        <v>7</v>
      </c>
      <c r="D17" s="7">
        <v>2016</v>
      </c>
      <c r="E17" s="7">
        <v>25900</v>
      </c>
      <c r="F17" s="7">
        <v>56500</v>
      </c>
    </row>
    <row r="18" spans="3:6" ht="15.75" x14ac:dyDescent="0.25">
      <c r="C18" s="7">
        <v>8</v>
      </c>
      <c r="D18" s="7">
        <v>2014</v>
      </c>
      <c r="E18" s="7">
        <v>43000</v>
      </c>
      <c r="F18" s="7">
        <v>43990</v>
      </c>
    </row>
    <row r="19" spans="3:6" ht="15.75" x14ac:dyDescent="0.25">
      <c r="C19" s="7">
        <v>9</v>
      </c>
      <c r="D19" s="7">
        <v>2014</v>
      </c>
      <c r="E19" s="7">
        <v>29000</v>
      </c>
      <c r="F19" s="7">
        <v>39900</v>
      </c>
    </row>
    <row r="20" spans="3:6" ht="15.75" x14ac:dyDescent="0.25">
      <c r="C20" s="7">
        <v>10</v>
      </c>
      <c r="D20" s="7">
        <v>2017</v>
      </c>
      <c r="E20" s="7">
        <v>12600</v>
      </c>
      <c r="F20" s="7">
        <v>53000</v>
      </c>
    </row>
    <row r="21" spans="3:6" ht="15.75" x14ac:dyDescent="0.25">
      <c r="C21" s="7">
        <v>11</v>
      </c>
      <c r="D21" s="7">
        <v>2013</v>
      </c>
      <c r="E21" s="7">
        <v>26000</v>
      </c>
      <c r="F21" s="7">
        <v>35000</v>
      </c>
    </row>
    <row r="22" spans="3:6" ht="15.75" x14ac:dyDescent="0.25">
      <c r="C22" s="7">
        <v>12</v>
      </c>
      <c r="D22" s="7">
        <v>2015</v>
      </c>
      <c r="E22" s="7">
        <v>45500</v>
      </c>
      <c r="F22" s="7">
        <v>42000</v>
      </c>
    </row>
    <row r="23" spans="3:6" ht="15.75" x14ac:dyDescent="0.25">
      <c r="C23" s="7">
        <v>13</v>
      </c>
      <c r="D23" s="7">
        <v>2016</v>
      </c>
      <c r="E23" s="7">
        <v>20000</v>
      </c>
      <c r="F23" s="7">
        <v>39900</v>
      </c>
    </row>
    <row r="24" spans="3:6" ht="15.75" x14ac:dyDescent="0.25">
      <c r="C24" s="7">
        <v>14</v>
      </c>
      <c r="D24" s="7">
        <v>2015</v>
      </c>
      <c r="E24" s="7">
        <v>30000</v>
      </c>
      <c r="F24" s="7">
        <v>35990</v>
      </c>
    </row>
    <row r="25" spans="3:6" ht="15.75" x14ac:dyDescent="0.25">
      <c r="C25" s="7">
        <v>15</v>
      </c>
      <c r="D25" s="7">
        <v>2016</v>
      </c>
      <c r="E25" s="7">
        <v>35000</v>
      </c>
      <c r="F25" s="7">
        <v>46900</v>
      </c>
    </row>
    <row r="32" spans="3:6" ht="15.75" x14ac:dyDescent="0.25">
      <c r="C32" s="7" t="s">
        <v>31</v>
      </c>
      <c r="D32" s="7" t="s">
        <v>32</v>
      </c>
      <c r="E32" s="7" t="s">
        <v>34</v>
      </c>
      <c r="F32" s="7" t="s">
        <v>3</v>
      </c>
    </row>
    <row r="33" spans="3:6" ht="15.75" x14ac:dyDescent="0.25">
      <c r="C33" s="7">
        <v>1</v>
      </c>
      <c r="D33" s="7">
        <v>2017</v>
      </c>
      <c r="E33" s="8">
        <v>2864</v>
      </c>
      <c r="F33" s="7">
        <v>51990</v>
      </c>
    </row>
    <row r="34" spans="3:6" ht="15.75" x14ac:dyDescent="0.25">
      <c r="C34" s="7">
        <v>2</v>
      </c>
      <c r="D34" s="7">
        <v>2013</v>
      </c>
      <c r="E34" s="8">
        <v>3080</v>
      </c>
      <c r="F34" s="7">
        <v>31000</v>
      </c>
    </row>
    <row r="35" spans="3:6" ht="15.75" x14ac:dyDescent="0.25">
      <c r="C35" s="7">
        <v>3</v>
      </c>
      <c r="D35" s="7">
        <v>2014</v>
      </c>
      <c r="E35" s="8">
        <v>3244</v>
      </c>
      <c r="F35" s="7">
        <v>39200</v>
      </c>
    </row>
    <row r="36" spans="3:6" ht="15.75" x14ac:dyDescent="0.25">
      <c r="C36" s="7">
        <v>4</v>
      </c>
      <c r="D36" s="7">
        <v>2017</v>
      </c>
      <c r="E36" s="8">
        <v>2738</v>
      </c>
      <c r="F36" s="7">
        <v>49700</v>
      </c>
    </row>
    <row r="37" spans="3:6" ht="15.75" x14ac:dyDescent="0.25">
      <c r="C37" s="7">
        <v>5</v>
      </c>
      <c r="D37" s="7">
        <v>2015</v>
      </c>
      <c r="E37" s="8">
        <v>2623</v>
      </c>
      <c r="F37" s="7">
        <v>37000</v>
      </c>
    </row>
    <row r="38" spans="3:6" ht="15.75" x14ac:dyDescent="0.25">
      <c r="C38" s="7">
        <v>6</v>
      </c>
      <c r="D38" s="7">
        <v>2013</v>
      </c>
      <c r="E38" s="8">
        <v>2419</v>
      </c>
      <c r="F38" s="7">
        <v>24250</v>
      </c>
    </row>
    <row r="39" spans="3:6" ht="15.75" x14ac:dyDescent="0.25">
      <c r="C39" s="7">
        <v>7</v>
      </c>
      <c r="D39" s="7">
        <v>2016</v>
      </c>
      <c r="E39" s="8">
        <v>3503</v>
      </c>
      <c r="F39" s="7">
        <v>56500</v>
      </c>
    </row>
    <row r="40" spans="3:6" ht="15.75" x14ac:dyDescent="0.25">
      <c r="C40" s="7">
        <v>8</v>
      </c>
      <c r="D40" s="7">
        <v>2014</v>
      </c>
      <c r="E40" s="8">
        <v>3640</v>
      </c>
      <c r="F40" s="7">
        <v>43990</v>
      </c>
    </row>
    <row r="41" spans="3:6" ht="15.75" x14ac:dyDescent="0.25">
      <c r="C41" s="7">
        <v>9</v>
      </c>
      <c r="D41" s="7">
        <v>2014</v>
      </c>
      <c r="E41" s="8">
        <v>3301</v>
      </c>
      <c r="F41" s="7">
        <v>39900</v>
      </c>
    </row>
    <row r="42" spans="3:6" ht="15.75" x14ac:dyDescent="0.25">
      <c r="C42" s="7">
        <v>10</v>
      </c>
      <c r="D42" s="7">
        <v>2017</v>
      </c>
      <c r="E42" s="8">
        <v>2920</v>
      </c>
      <c r="F42" s="7">
        <v>53000</v>
      </c>
    </row>
    <row r="43" spans="3:6" ht="15.75" x14ac:dyDescent="0.25">
      <c r="C43" s="7">
        <v>11</v>
      </c>
      <c r="D43" s="7">
        <v>2013</v>
      </c>
      <c r="E43" s="8">
        <v>3477</v>
      </c>
      <c r="F43" s="7">
        <v>35000</v>
      </c>
    </row>
    <row r="44" spans="3:6" ht="15.75" x14ac:dyDescent="0.25">
      <c r="C44" s="7">
        <v>12</v>
      </c>
      <c r="D44" s="7">
        <v>2015</v>
      </c>
      <c r="E44" s="8">
        <v>2977</v>
      </c>
      <c r="F44" s="7">
        <v>42000</v>
      </c>
    </row>
    <row r="45" spans="3:6" ht="15.75" x14ac:dyDescent="0.25">
      <c r="C45" s="7">
        <v>13</v>
      </c>
      <c r="D45" s="7">
        <v>2016</v>
      </c>
      <c r="E45" s="8">
        <v>2475</v>
      </c>
      <c r="F45" s="7">
        <v>39900</v>
      </c>
    </row>
    <row r="46" spans="3:6" ht="15.75" x14ac:dyDescent="0.25">
      <c r="C46" s="7">
        <v>14</v>
      </c>
      <c r="D46" s="7">
        <v>2015</v>
      </c>
      <c r="E46" s="8">
        <v>2552</v>
      </c>
      <c r="F46" s="7">
        <v>35990</v>
      </c>
    </row>
    <row r="47" spans="3:6" ht="15.75" x14ac:dyDescent="0.25">
      <c r="C47" s="7">
        <v>15</v>
      </c>
      <c r="D47" s="7">
        <v>2016</v>
      </c>
      <c r="E47" s="8">
        <v>2908</v>
      </c>
      <c r="F47" s="7">
        <v>46900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Preço K Gabarito</vt:lpstr>
      <vt:lpstr>Preço K Exercício</vt:lpstr>
      <vt:lpstr>Preço Fiesta Gabarito</vt:lpstr>
      <vt:lpstr>Preço Fiesta exercício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2018-10-16T12:43:45Z</dcterms:created>
  <dcterms:modified xsi:type="dcterms:W3CDTF">2019-08-11T21:29:48Z</dcterms:modified>
</cp:coreProperties>
</file>