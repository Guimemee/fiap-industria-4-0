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po\Desktop\GUIA de ESTUDOS_01_02Semestre de 2019\"/>
    </mc:Choice>
  </mc:AlternateContent>
  <xr:revisionPtr revIDLastSave="0" documentId="13_ncr:1_{6ED7E4ED-B06D-4471-B6E5-4CBAA0085932}" xr6:coauthVersionLast="43" xr6:coauthVersionMax="43" xr10:uidLastSave="{00000000-0000-0000-0000-000000000000}"/>
  <bookViews>
    <workbookView xWindow="-120" yWindow="-120" windowWidth="29040" windowHeight="15840" xr2:uid="{D96DF1EC-A9E3-4E03-93F0-93C2CE6D6553}"/>
  </bookViews>
  <sheets>
    <sheet name="CIFGABARITO" sheetId="1" r:id="rId1"/>
    <sheet name="Planilh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47" i="1" l="1"/>
  <c r="P42" i="1"/>
</calcChain>
</file>

<file path=xl/sharedStrings.xml><?xml version="1.0" encoding="utf-8"?>
<sst xmlns="http://schemas.openxmlformats.org/spreadsheetml/2006/main" count="35" uniqueCount="30">
  <si>
    <t>Meses</t>
  </si>
  <si>
    <t>Lotes de Produção</t>
  </si>
  <si>
    <t>RESUMO DOS RESULTADOS</t>
  </si>
  <si>
    <t>Estatística de regressão</t>
  </si>
  <si>
    <t>R múltiplo</t>
  </si>
  <si>
    <t>R-Quadrado</t>
  </si>
  <si>
    <t>R-quadrado ajustado</t>
  </si>
  <si>
    <t>Erro padrão</t>
  </si>
  <si>
    <t>Observações</t>
  </si>
  <si>
    <t>ANOVA</t>
  </si>
  <si>
    <t>Regressão</t>
  </si>
  <si>
    <t>Resíduo</t>
  </si>
  <si>
    <t>Total</t>
  </si>
  <si>
    <t>Interseção</t>
  </si>
  <si>
    <t>gl</t>
  </si>
  <si>
    <t>SQ</t>
  </si>
  <si>
    <t>MQ</t>
  </si>
  <si>
    <t>F</t>
  </si>
  <si>
    <t>F de significação</t>
  </si>
  <si>
    <t>Coeficientes</t>
  </si>
  <si>
    <t>Stat t</t>
  </si>
  <si>
    <t>valor-P</t>
  </si>
  <si>
    <t>95% inferiores</t>
  </si>
  <si>
    <t>95% superiores</t>
  </si>
  <si>
    <t>Inferior 95,0%</t>
  </si>
  <si>
    <t>Superior 95,0%</t>
  </si>
  <si>
    <t>Variável X 1</t>
  </si>
  <si>
    <t>Variável X 2</t>
  </si>
  <si>
    <t xml:space="preserve">Horas Máquina </t>
  </si>
  <si>
    <t>Custos Indiretos de Fabricação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</si>
</sst>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2" fontId="0" fillId="0" borderId="0" xfId="0" applyNumberFormat="1" applyFill="1" applyBorder="1" applyAlignment="1"/>
    <xf numFmtId="2" fontId="0" fillId="0" borderId="1" xfId="0" applyNumberFormat="1" applyFill="1" applyBorder="1" applyAlignment="1"/>
    <xf numFmtId="0" fontId="3" fillId="0" borderId="2" xfId="0" applyFont="1" applyFill="1" applyBorder="1" applyAlignment="1">
      <alignment horizontal="center"/>
    </xf>
    <xf numFmtId="2" fontId="2" fillId="0" borderId="0" xfId="0" applyNumberFormat="1" applyFont="1" applyFill="1" applyBorder="1" applyAlignment="1"/>
    <xf numFmtId="2" fontId="2" fillId="0" borderId="1" xfId="0" applyNumberFormat="1" applyFont="1" applyFill="1" applyBorder="1" applyAlignment="1"/>
    <xf numFmtId="0" fontId="0" fillId="0" borderId="0" xfId="0" applyFont="1" applyFill="1" applyBorder="1" applyAlignment="1"/>
    <xf numFmtId="0" fontId="0" fillId="0" borderId="1" xfId="0" applyFont="1" applyFill="1" applyBorder="1" applyAlignment="1"/>
  </cellXfs>
  <cellStyles count="1">
    <cellStyle name="Normal" xfId="0" builtinId="0"/>
  </cellStyles>
  <dxfs count="1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25</xdr:row>
      <xdr:rowOff>171450</xdr:rowOff>
    </xdr:from>
    <xdr:ext cx="6276975" cy="129540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D58B273E-1FE3-4134-BA0A-2522883E3114}"/>
            </a:ext>
          </a:extLst>
        </xdr:cNvPr>
        <xdr:cNvSpPr txBox="1"/>
      </xdr:nvSpPr>
      <xdr:spPr>
        <a:xfrm>
          <a:off x="180975" y="3790950"/>
          <a:ext cx="6276975" cy="1295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400" b="1"/>
            <a:t>Para realizar a regrssão tenha em ente que os cutos indiretos</a:t>
          </a:r>
          <a:r>
            <a:rPr lang="pt-BR" sz="1400" b="1" baseline="0"/>
            <a:t> (Y) </a:t>
          </a:r>
        </a:p>
        <a:p>
          <a:r>
            <a:rPr lang="pt-BR" sz="1400" b="1" baseline="0"/>
            <a:t>são função das horas máquina e dos lotes  de prdução  que serão respectivamente</a:t>
          </a:r>
        </a:p>
        <a:p>
          <a:r>
            <a:rPr lang="pt-BR" sz="1400" b="1" baseline="0"/>
            <a:t> X1 e X2</a:t>
          </a:r>
          <a:r>
            <a:rPr lang="pt-BR" sz="1100" baseline="0"/>
            <a:t>.</a:t>
          </a:r>
          <a:endParaRPr lang="pt-BR" sz="1100"/>
        </a:p>
      </xdr:txBody>
    </xdr:sp>
    <xdr:clientData/>
  </xdr:oneCellAnchor>
  <xdr:oneCellAnchor>
    <xdr:from>
      <xdr:col>6</xdr:col>
      <xdr:colOff>590550</xdr:colOff>
      <xdr:row>27</xdr:row>
      <xdr:rowOff>180974</xdr:rowOff>
    </xdr:from>
    <xdr:ext cx="7153275" cy="5791201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E4E0F423-F71F-420A-869F-C481AC8D8298}"/>
            </a:ext>
          </a:extLst>
        </xdr:cNvPr>
        <xdr:cNvSpPr txBox="1"/>
      </xdr:nvSpPr>
      <xdr:spPr>
        <a:xfrm>
          <a:off x="7210425" y="5381624"/>
          <a:ext cx="7153275" cy="57912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400" b="1"/>
            <a:t>1</a:t>
          </a:r>
          <a:r>
            <a:rPr lang="pt-BR" sz="1400" b="1" baseline="0"/>
            <a:t> TESTE:</a:t>
          </a:r>
        </a:p>
        <a:p>
          <a:endParaRPr lang="pt-BR" sz="1400" b="1" baseline="0"/>
        </a:p>
        <a:p>
          <a:r>
            <a:rPr lang="pt-BR" sz="1400" b="1" baseline="0"/>
            <a:t> Intervalo de confiança (Coeficiente comparado em relação aos 95% inferiores e superiores)</a:t>
          </a:r>
        </a:p>
        <a:p>
          <a:endParaRPr lang="pt-BR" sz="1400" b="1" baseline="0"/>
        </a:p>
        <a:p>
          <a:r>
            <a:rPr lang="pt-BR" sz="1400" b="1" baseline="0"/>
            <a:t>Variável X1 : 26,088 está entre 19,88 e 32,29</a:t>
          </a:r>
        </a:p>
        <a:p>
          <a:endParaRPr lang="pt-BR" sz="1400" b="1" baseline="0"/>
        </a:p>
        <a:p>
          <a:r>
            <a:rPr lang="pt-BR" sz="1400" b="1" baseline="0"/>
            <a:t>Variável X2: 388,82 está entre 240,86 e 536,78</a:t>
          </a:r>
        </a:p>
        <a:p>
          <a:endParaRPr lang="pt-BR" sz="1400" b="1" baseline="0"/>
        </a:p>
        <a:p>
          <a:r>
            <a:rPr lang="pt-BR" sz="1400" b="1" baseline="0"/>
            <a:t>2 TESTE:</a:t>
          </a:r>
        </a:p>
        <a:p>
          <a:endParaRPr lang="pt-BR" sz="1400" b="1" baseline="0"/>
        </a:p>
        <a:p>
          <a:r>
            <a:rPr lang="pt-BR" sz="1400" b="1" baseline="0"/>
            <a:t> Stat T Fórmula ( (coeficiente - 95% inferiores) / erro padrão )</a:t>
          </a:r>
        </a:p>
        <a:p>
          <a:endParaRPr lang="pt-BR" sz="1400" b="1" baseline="0"/>
        </a:p>
        <a:p>
          <a:r>
            <a:rPr lang="pt-BR" sz="1400" b="1" baseline="0"/>
            <a:t>Variável X1: (26,09 - 19,88) /2,85 =  - 2,18  + 2,18 (Stat t 9,16 fora da intervalo de erro,</a:t>
          </a:r>
        </a:p>
        <a:p>
          <a:r>
            <a:rPr lang="pt-BR" sz="1400" b="1" baseline="0"/>
            <a:t> portanto aceito.</a:t>
          </a:r>
        </a:p>
        <a:p>
          <a:endParaRPr lang="pt-BR" sz="1400" b="1" baseline="0"/>
        </a:p>
        <a:p>
          <a:endParaRPr lang="pt-BR" sz="1400" b="1" baseline="0"/>
        </a:p>
        <a:p>
          <a:r>
            <a:rPr lang="pt-BR" sz="1400" b="1" baseline="0"/>
            <a:t>Variável X2: (388,82 -240,86) /67,91 = - 2,18 e + 2,18 (Stat t t 5,73 fora do intervalo de erro,</a:t>
          </a:r>
        </a:p>
        <a:p>
          <a:r>
            <a:rPr lang="pt-BR" sz="1400" b="1" baseline="0"/>
            <a:t> portanto aceito.</a:t>
          </a:r>
        </a:p>
        <a:p>
          <a:endParaRPr lang="pt-BR" sz="1400" b="1" baseline="0"/>
        </a:p>
        <a:p>
          <a:r>
            <a:rPr lang="pt-BR" sz="1400" b="1" baseline="0"/>
            <a:t>3 TESTE:</a:t>
          </a:r>
        </a:p>
        <a:p>
          <a:r>
            <a:rPr lang="pt-BR" sz="1400" b="1" baseline="0"/>
            <a:t>Valor - p</a:t>
          </a:r>
        </a:p>
        <a:p>
          <a:endParaRPr lang="pt-BR" sz="1400" b="1" baseline="0"/>
        </a:p>
        <a:p>
          <a:r>
            <a:rPr lang="pt-BR" sz="1400" b="1" baseline="0"/>
            <a:t>Variável X1e variável X2 estão abaixo de 0,05, portanto aceitas como corretas.</a:t>
          </a:r>
        </a:p>
      </xdr:txBody>
    </xdr:sp>
    <xdr:clientData/>
  </xdr:oneCellAnchor>
  <xdr:oneCellAnchor>
    <xdr:from>
      <xdr:col>3</xdr:col>
      <xdr:colOff>228600</xdr:colOff>
      <xdr:row>1</xdr:row>
      <xdr:rowOff>9525</xdr:rowOff>
    </xdr:from>
    <xdr:ext cx="9504974" cy="342786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28E2F4EA-571D-49B4-A667-C12AFC0CBF41}"/>
            </a:ext>
          </a:extLst>
        </xdr:cNvPr>
        <xdr:cNvSpPr txBox="1"/>
      </xdr:nvSpPr>
      <xdr:spPr>
        <a:xfrm>
          <a:off x="2057400" y="200025"/>
          <a:ext cx="9504974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600" b="1"/>
            <a:t>Aplicação para o excel do texto Utilização da regressão linear como ferramenta de decião da gestão de custos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57151</xdr:colOff>
      <xdr:row>23</xdr:row>
      <xdr:rowOff>171449</xdr:rowOff>
    </xdr:from>
    <xdr:ext cx="4876800" cy="1933576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808A79EC-0659-4D98-9B68-5AE740BF45B0}"/>
            </a:ext>
          </a:extLst>
        </xdr:cNvPr>
        <xdr:cNvSpPr txBox="1"/>
      </xdr:nvSpPr>
      <xdr:spPr>
        <a:xfrm>
          <a:off x="57151" y="4552949"/>
          <a:ext cx="4876800" cy="19335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800"/>
            <a:t>Observação Relevante</a:t>
          </a:r>
        </a:p>
        <a:p>
          <a:endParaRPr lang="pt-BR" sz="1800"/>
        </a:p>
        <a:p>
          <a:r>
            <a:rPr lang="pt-BR" sz="1800"/>
            <a:t>os custos indiretos são a variável</a:t>
          </a:r>
          <a:r>
            <a:rPr lang="pt-BR" sz="1800" baseline="0"/>
            <a:t> dependente da horas máquina e lotes de produção.</a:t>
          </a:r>
          <a:endParaRPr lang="pt-BR" sz="18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CDDFD6-9674-4FAF-AB45-D60D83F6730C}" name="Tabela1" displayName="Tabela1" ref="C8:F23" totalsRowShown="0" headerRowDxfId="11" dataDxfId="10">
  <autoFilter ref="C8:F23" xr:uid="{99CDE86D-6B0D-4DBC-8940-E14F0B89DEDB}"/>
  <tableColumns count="4">
    <tableColumn id="1" xr3:uid="{14CA2199-79AE-4087-A67A-0B8C5D834425}" name="Meses" dataDxfId="9"/>
    <tableColumn id="2" xr3:uid="{8585649F-B75C-48BD-ADFE-9F515E996D8B}" name="Custos Indiretos de Fabricação" dataDxfId="8"/>
    <tableColumn id="3" xr3:uid="{98FE295D-E837-4A06-814C-9611077C1C35}" name="Horas Máquina " dataDxfId="7"/>
    <tableColumn id="4" xr3:uid="{F42EE397-71BB-4BA5-97A9-8E18165D8A09}" name="Lotes de Produção" dataDxfId="6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3C41CE-9F97-4853-A6DD-52EDEFF8BA7F}" name="Tabela13" displayName="Tabela13" ref="C4:F19" totalsRowShown="0" headerRowDxfId="5" dataDxfId="4">
  <autoFilter ref="C4:F19" xr:uid="{EE79DDB8-E467-4798-BACD-E6FFC53865C1}"/>
  <tableColumns count="4">
    <tableColumn id="1" xr3:uid="{18713774-CB5B-4372-BF95-D7DE0FF7AF94}" name="Meses" dataDxfId="3"/>
    <tableColumn id="2" xr3:uid="{03FE94CE-180F-4ED1-87A7-D144B8AC3802}" name="Custos Indiretos de Fabricação" dataDxfId="2"/>
    <tableColumn id="3" xr3:uid="{87271AE7-BC63-4F1B-BD50-E2E2F4B427A9}" name="Horas Máquina " dataDxfId="1"/>
    <tableColumn id="4" xr3:uid="{1DACDB01-F3CE-40AD-807F-99936FEE2AB4}" name="Lotes de Produção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AF4ED-7687-47FD-ABC7-94297EE190F9}">
  <dimension ref="C8:P47"/>
  <sheetViews>
    <sheetView tabSelected="1" topLeftCell="A13" workbookViewId="0">
      <selection activeCell="P37" sqref="P37"/>
    </sheetView>
  </sheetViews>
  <sheetFormatPr defaultRowHeight="15" x14ac:dyDescent="0.25"/>
  <cols>
    <col min="4" max="4" width="26" customWidth="1"/>
    <col min="5" max="5" width="19" customWidth="1"/>
    <col min="6" max="6" width="26.85546875" customWidth="1"/>
    <col min="8" max="8" width="13.85546875" customWidth="1"/>
    <col min="9" max="9" width="20.28515625" customWidth="1"/>
    <col min="10" max="10" width="16.140625" customWidth="1"/>
    <col min="11" max="11" width="15.5703125" customWidth="1"/>
    <col min="13" max="13" width="16.5703125" customWidth="1"/>
    <col min="14" max="14" width="15.28515625" customWidth="1"/>
    <col min="15" max="15" width="13.28515625" customWidth="1"/>
    <col min="16" max="16" width="15.28515625" customWidth="1"/>
  </cols>
  <sheetData>
    <row r="8" spans="3:9" x14ac:dyDescent="0.25">
      <c r="C8" s="1" t="s">
        <v>0</v>
      </c>
      <c r="D8" s="1" t="s">
        <v>29</v>
      </c>
      <c r="E8" s="1" t="s">
        <v>28</v>
      </c>
      <c r="F8" s="1" t="s">
        <v>1</v>
      </c>
      <c r="H8" t="s">
        <v>2</v>
      </c>
    </row>
    <row r="9" spans="3:9" ht="15.75" thickBot="1" x14ac:dyDescent="0.3">
      <c r="C9" s="1">
        <v>1</v>
      </c>
      <c r="D9" s="1">
        <v>150345</v>
      </c>
      <c r="E9" s="1">
        <v>3592</v>
      </c>
      <c r="F9" s="1">
        <v>61</v>
      </c>
    </row>
    <row r="10" spans="3:9" x14ac:dyDescent="0.25">
      <c r="C10" s="1">
        <v>2</v>
      </c>
      <c r="D10" s="1">
        <v>142126</v>
      </c>
      <c r="E10" s="1">
        <v>2640</v>
      </c>
      <c r="F10" s="1">
        <v>89</v>
      </c>
      <c r="H10" s="5" t="s">
        <v>3</v>
      </c>
      <c r="I10" s="5"/>
    </row>
    <row r="11" spans="3:9" x14ac:dyDescent="0.25">
      <c r="C11" s="1">
        <v>3</v>
      </c>
      <c r="D11" s="1">
        <v>160360</v>
      </c>
      <c r="E11" s="1">
        <v>3340</v>
      </c>
      <c r="F11" s="1">
        <v>90</v>
      </c>
      <c r="H11" s="2" t="s">
        <v>4</v>
      </c>
      <c r="I11" s="2">
        <v>0.95589060662698533</v>
      </c>
    </row>
    <row r="12" spans="3:9" x14ac:dyDescent="0.25">
      <c r="C12" s="1">
        <v>4</v>
      </c>
      <c r="D12" s="1">
        <v>149084</v>
      </c>
      <c r="E12" s="1">
        <v>3025</v>
      </c>
      <c r="F12" s="1">
        <v>80</v>
      </c>
      <c r="H12" s="2" t="s">
        <v>5</v>
      </c>
      <c r="I12" s="2">
        <v>0.91372685183770608</v>
      </c>
    </row>
    <row r="13" spans="3:9" x14ac:dyDescent="0.25">
      <c r="C13" s="1">
        <v>5</v>
      </c>
      <c r="D13" s="1">
        <v>119474</v>
      </c>
      <c r="E13" s="1">
        <v>2664</v>
      </c>
      <c r="F13" s="1">
        <v>50</v>
      </c>
      <c r="H13" s="2" t="s">
        <v>6</v>
      </c>
      <c r="I13" s="2">
        <v>0.89934799381065711</v>
      </c>
    </row>
    <row r="14" spans="3:9" x14ac:dyDescent="0.25">
      <c r="C14" s="1">
        <v>6</v>
      </c>
      <c r="D14" s="1">
        <v>139548</v>
      </c>
      <c r="E14" s="1">
        <v>2702</v>
      </c>
      <c r="F14" s="1">
        <v>79</v>
      </c>
      <c r="H14" s="2" t="s">
        <v>7</v>
      </c>
      <c r="I14" s="2">
        <v>4523.1530746902763</v>
      </c>
    </row>
    <row r="15" spans="3:9" ht="15.75" thickBot="1" x14ac:dyDescent="0.3">
      <c r="C15" s="1">
        <v>7</v>
      </c>
      <c r="D15" s="1">
        <v>137612</v>
      </c>
      <c r="E15" s="1">
        <v>2608</v>
      </c>
      <c r="F15" s="1">
        <v>91</v>
      </c>
      <c r="H15" s="3" t="s">
        <v>8</v>
      </c>
      <c r="I15" s="3">
        <v>15</v>
      </c>
    </row>
    <row r="16" spans="3:9" x14ac:dyDescent="0.25">
      <c r="C16" s="1">
        <v>8</v>
      </c>
      <c r="D16" s="1">
        <v>143747</v>
      </c>
      <c r="E16" s="1">
        <v>2825</v>
      </c>
      <c r="F16" s="1">
        <v>61</v>
      </c>
    </row>
    <row r="17" spans="3:16" ht="15.75" thickBot="1" x14ac:dyDescent="0.3">
      <c r="C17" s="1">
        <v>9</v>
      </c>
      <c r="D17" s="1">
        <v>142315</v>
      </c>
      <c r="E17" s="1">
        <v>3303</v>
      </c>
      <c r="F17" s="1">
        <v>49</v>
      </c>
      <c r="H17" t="s">
        <v>9</v>
      </c>
    </row>
    <row r="18" spans="3:16" x14ac:dyDescent="0.25">
      <c r="C18" s="1">
        <v>10</v>
      </c>
      <c r="D18" s="1">
        <v>113593</v>
      </c>
      <c r="E18" s="1">
        <v>2304</v>
      </c>
      <c r="F18" s="1">
        <v>41</v>
      </c>
      <c r="H18" s="4"/>
      <c r="I18" s="4" t="s">
        <v>14</v>
      </c>
      <c r="J18" s="4" t="s">
        <v>15</v>
      </c>
      <c r="K18" s="4" t="s">
        <v>16</v>
      </c>
      <c r="L18" s="4" t="s">
        <v>17</v>
      </c>
      <c r="M18" s="4" t="s">
        <v>18</v>
      </c>
    </row>
    <row r="19" spans="3:16" x14ac:dyDescent="0.25">
      <c r="C19" s="1">
        <v>11</v>
      </c>
      <c r="D19" s="1">
        <v>161593</v>
      </c>
      <c r="E19" s="1">
        <v>3679</v>
      </c>
      <c r="F19" s="1">
        <v>55</v>
      </c>
      <c r="H19" s="2" t="s">
        <v>10</v>
      </c>
      <c r="I19" s="2">
        <v>2</v>
      </c>
      <c r="J19" s="2">
        <v>2600186858.4883718</v>
      </c>
      <c r="K19" s="2">
        <v>1300093429.2441859</v>
      </c>
      <c r="L19" s="2">
        <v>63.546552175342214</v>
      </c>
      <c r="M19" s="2">
        <v>4.1233848987766121E-7</v>
      </c>
    </row>
    <row r="20" spans="3:16" x14ac:dyDescent="0.25">
      <c r="C20" s="1">
        <v>12</v>
      </c>
      <c r="D20" s="1">
        <v>124181</v>
      </c>
      <c r="E20" s="1">
        <v>2272</v>
      </c>
      <c r="F20" s="1">
        <v>56</v>
      </c>
      <c r="H20" s="2" t="s">
        <v>11</v>
      </c>
      <c r="I20" s="2">
        <v>12</v>
      </c>
      <c r="J20" s="2">
        <v>245506964.84496117</v>
      </c>
      <c r="K20" s="2">
        <v>20458913.737080097</v>
      </c>
      <c r="L20" s="2"/>
      <c r="M20" s="2"/>
    </row>
    <row r="21" spans="3:16" ht="15.75" thickBot="1" x14ac:dyDescent="0.3">
      <c r="C21" s="1">
        <v>13</v>
      </c>
      <c r="D21" s="1">
        <v>130116</v>
      </c>
      <c r="E21" s="1">
        <v>2688</v>
      </c>
      <c r="F21" s="1">
        <v>54</v>
      </c>
      <c r="H21" s="3" t="s">
        <v>12</v>
      </c>
      <c r="I21" s="3">
        <v>14</v>
      </c>
      <c r="J21" s="3">
        <v>2845693823.333333</v>
      </c>
      <c r="K21" s="3"/>
      <c r="L21" s="3"/>
      <c r="M21" s="3"/>
    </row>
    <row r="22" spans="3:16" ht="15.75" thickBot="1" x14ac:dyDescent="0.3">
      <c r="C22" s="1">
        <v>14</v>
      </c>
      <c r="D22" s="1">
        <v>156934</v>
      </c>
      <c r="E22" s="1">
        <v>3056</v>
      </c>
      <c r="F22" s="1">
        <v>95</v>
      </c>
    </row>
    <row r="23" spans="3:16" x14ac:dyDescent="0.25">
      <c r="C23" s="1">
        <v>15</v>
      </c>
      <c r="D23" s="1">
        <v>139812</v>
      </c>
      <c r="E23" s="1">
        <v>3024</v>
      </c>
      <c r="F23" s="1">
        <v>66</v>
      </c>
      <c r="H23" s="4"/>
      <c r="I23" s="4" t="s">
        <v>19</v>
      </c>
      <c r="J23" s="4" t="s">
        <v>7</v>
      </c>
      <c r="K23" s="4" t="s">
        <v>20</v>
      </c>
      <c r="L23" s="4" t="s">
        <v>21</v>
      </c>
      <c r="M23" s="8" t="s">
        <v>22</v>
      </c>
      <c r="N23" s="8" t="s">
        <v>23</v>
      </c>
      <c r="O23" s="4" t="s">
        <v>24</v>
      </c>
      <c r="P23" s="4" t="s">
        <v>25</v>
      </c>
    </row>
    <row r="24" spans="3:16" x14ac:dyDescent="0.25">
      <c r="H24" s="2" t="s">
        <v>13</v>
      </c>
      <c r="I24" s="6">
        <v>38320.435612100613</v>
      </c>
      <c r="J24" s="6">
        <v>9199.9819173010783</v>
      </c>
      <c r="K24" s="6">
        <v>4.1652729273344438</v>
      </c>
      <c r="L24" s="2">
        <v>1.310426164094478E-3</v>
      </c>
      <c r="M24" s="9">
        <v>18275.396977978518</v>
      </c>
      <c r="N24" s="9">
        <v>58365.474246222708</v>
      </c>
      <c r="O24" s="11">
        <v>18275.396977978518</v>
      </c>
      <c r="P24" s="2">
        <v>58365.474246222708</v>
      </c>
    </row>
    <row r="25" spans="3:16" x14ac:dyDescent="0.25">
      <c r="H25" s="2" t="s">
        <v>26</v>
      </c>
      <c r="I25" s="6">
        <v>26.087606981304933</v>
      </c>
      <c r="J25" s="6">
        <v>2.8486418666150435</v>
      </c>
      <c r="K25" s="6">
        <v>9.1579104018098505</v>
      </c>
      <c r="L25" s="2">
        <v>9.1847877057186121E-7</v>
      </c>
      <c r="M25" s="9">
        <v>19.880949535196876</v>
      </c>
      <c r="N25" s="9">
        <v>32.29426442741299</v>
      </c>
      <c r="O25" s="11">
        <v>19.880949535196876</v>
      </c>
      <c r="P25" s="2">
        <v>32.29426442741299</v>
      </c>
    </row>
    <row r="26" spans="3:16" ht="15.75" thickBot="1" x14ac:dyDescent="0.3">
      <c r="H26" s="3" t="s">
        <v>27</v>
      </c>
      <c r="I26" s="7">
        <v>388.82115376782332</v>
      </c>
      <c r="J26" s="7">
        <v>67.909344935619615</v>
      </c>
      <c r="K26" s="7">
        <v>5.7255912884513771</v>
      </c>
      <c r="L26" s="3">
        <v>9.521599941795195E-5</v>
      </c>
      <c r="M26" s="10">
        <v>240.85940176779809</v>
      </c>
      <c r="N26" s="10">
        <v>536.78290576784855</v>
      </c>
      <c r="O26" s="12">
        <v>240.85940176779809</v>
      </c>
      <c r="P26" s="3">
        <v>536.78290576784855</v>
      </c>
    </row>
    <row r="42" spans="16:16" x14ac:dyDescent="0.25">
      <c r="P42">
        <f>((I25-M25)/J25)</f>
        <v>2.178812829667228</v>
      </c>
    </row>
    <row r="47" spans="16:16" x14ac:dyDescent="0.25">
      <c r="P47">
        <f>((I26-M26)/J26)</f>
        <v>2.1788128296672284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597E0-BF35-49D7-BF3F-72CDCDE9249C}">
  <dimension ref="C4:F19"/>
  <sheetViews>
    <sheetView workbookViewId="0">
      <selection activeCell="F36" sqref="F36"/>
    </sheetView>
  </sheetViews>
  <sheetFormatPr defaultRowHeight="15" x14ac:dyDescent="0.25"/>
  <cols>
    <col min="4" max="4" width="17.85546875" customWidth="1"/>
    <col min="5" max="5" width="11.85546875" customWidth="1"/>
    <col min="6" max="6" width="17.140625" customWidth="1"/>
  </cols>
  <sheetData>
    <row r="4" spans="3:6" x14ac:dyDescent="0.25">
      <c r="C4" s="1" t="s">
        <v>0</v>
      </c>
      <c r="D4" s="1" t="s">
        <v>29</v>
      </c>
      <c r="E4" s="1" t="s">
        <v>28</v>
      </c>
      <c r="F4" s="1" t="s">
        <v>1</v>
      </c>
    </row>
    <row r="5" spans="3:6" x14ac:dyDescent="0.25">
      <c r="C5" s="1">
        <v>1</v>
      </c>
      <c r="D5" s="1">
        <v>150345</v>
      </c>
      <c r="E5" s="1">
        <v>3592</v>
      </c>
      <c r="F5" s="1">
        <v>61</v>
      </c>
    </row>
    <row r="6" spans="3:6" x14ac:dyDescent="0.25">
      <c r="C6" s="1">
        <v>2</v>
      </c>
      <c r="D6" s="1">
        <v>142126</v>
      </c>
      <c r="E6" s="1">
        <v>2640</v>
      </c>
      <c r="F6" s="1">
        <v>89</v>
      </c>
    </row>
    <row r="7" spans="3:6" x14ac:dyDescent="0.25">
      <c r="C7" s="1">
        <v>3</v>
      </c>
      <c r="D7" s="1">
        <v>160360</v>
      </c>
      <c r="E7" s="1">
        <v>3340</v>
      </c>
      <c r="F7" s="1">
        <v>90</v>
      </c>
    </row>
    <row r="8" spans="3:6" x14ac:dyDescent="0.25">
      <c r="C8" s="1">
        <v>4</v>
      </c>
      <c r="D8" s="1">
        <v>149084</v>
      </c>
      <c r="E8" s="1">
        <v>3025</v>
      </c>
      <c r="F8" s="1">
        <v>80</v>
      </c>
    </row>
    <row r="9" spans="3:6" x14ac:dyDescent="0.25">
      <c r="C9" s="1">
        <v>5</v>
      </c>
      <c r="D9" s="1">
        <v>119474</v>
      </c>
      <c r="E9" s="1">
        <v>2664</v>
      </c>
      <c r="F9" s="1">
        <v>50</v>
      </c>
    </row>
    <row r="10" spans="3:6" x14ac:dyDescent="0.25">
      <c r="C10" s="1">
        <v>6</v>
      </c>
      <c r="D10" s="1">
        <v>139548</v>
      </c>
      <c r="E10" s="1">
        <v>2702</v>
      </c>
      <c r="F10" s="1">
        <v>79</v>
      </c>
    </row>
    <row r="11" spans="3:6" x14ac:dyDescent="0.25">
      <c r="C11" s="1">
        <v>7</v>
      </c>
      <c r="D11" s="1">
        <v>137612</v>
      </c>
      <c r="E11" s="1">
        <v>2608</v>
      </c>
      <c r="F11" s="1">
        <v>91</v>
      </c>
    </row>
    <row r="12" spans="3:6" x14ac:dyDescent="0.25">
      <c r="C12" s="1">
        <v>8</v>
      </c>
      <c r="D12" s="1">
        <v>143747</v>
      </c>
      <c r="E12" s="1">
        <v>2825</v>
      </c>
      <c r="F12" s="1">
        <v>61</v>
      </c>
    </row>
    <row r="13" spans="3:6" x14ac:dyDescent="0.25">
      <c r="C13" s="1">
        <v>9</v>
      </c>
      <c r="D13" s="1">
        <v>142315</v>
      </c>
      <c r="E13" s="1">
        <v>3303</v>
      </c>
      <c r="F13" s="1">
        <v>49</v>
      </c>
    </row>
    <row r="14" spans="3:6" x14ac:dyDescent="0.25">
      <c r="C14" s="1">
        <v>10</v>
      </c>
      <c r="D14" s="1">
        <v>113593</v>
      </c>
      <c r="E14" s="1">
        <v>2304</v>
      </c>
      <c r="F14" s="1">
        <v>41</v>
      </c>
    </row>
    <row r="15" spans="3:6" x14ac:dyDescent="0.25">
      <c r="C15" s="1">
        <v>11</v>
      </c>
      <c r="D15" s="1">
        <v>161593</v>
      </c>
      <c r="E15" s="1">
        <v>3679</v>
      </c>
      <c r="F15" s="1">
        <v>55</v>
      </c>
    </row>
    <row r="16" spans="3:6" x14ac:dyDescent="0.25">
      <c r="C16" s="1">
        <v>12</v>
      </c>
      <c r="D16" s="1">
        <v>124181</v>
      </c>
      <c r="E16" s="1">
        <v>2272</v>
      </c>
      <c r="F16" s="1">
        <v>56</v>
      </c>
    </row>
    <row r="17" spans="3:6" x14ac:dyDescent="0.25">
      <c r="C17" s="1">
        <v>13</v>
      </c>
      <c r="D17" s="1">
        <v>130116</v>
      </c>
      <c r="E17" s="1">
        <v>2688</v>
      </c>
      <c r="F17" s="1">
        <v>54</v>
      </c>
    </row>
    <row r="18" spans="3:6" x14ac:dyDescent="0.25">
      <c r="C18" s="1">
        <v>14</v>
      </c>
      <c r="D18" s="1">
        <v>156934</v>
      </c>
      <c r="E18" s="1">
        <v>3056</v>
      </c>
      <c r="F18" s="1">
        <v>95</v>
      </c>
    </row>
    <row r="19" spans="3:6" x14ac:dyDescent="0.25">
      <c r="C19" s="1">
        <v>15</v>
      </c>
      <c r="D19" s="1">
        <v>139812</v>
      </c>
      <c r="E19" s="1">
        <v>3024</v>
      </c>
      <c r="F19" s="1">
        <v>66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CIFGABARITO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Demerval Luiz Polizelli</dc:creator>
  <cp:lastModifiedBy>Demerval Luiz Polizelli</cp:lastModifiedBy>
  <dcterms:created xsi:type="dcterms:W3CDTF">2018-10-16T12:12:30Z</dcterms:created>
  <dcterms:modified xsi:type="dcterms:W3CDTF">2019-08-05T16:10:17Z</dcterms:modified>
</cp:coreProperties>
</file>