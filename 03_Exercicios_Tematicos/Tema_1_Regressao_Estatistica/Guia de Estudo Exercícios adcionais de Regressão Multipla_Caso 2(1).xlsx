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po\Desktop\"/>
    </mc:Choice>
  </mc:AlternateContent>
  <xr:revisionPtr revIDLastSave="0" documentId="13_ncr:1_{4FAD80CA-34C8-4A11-9122-AA54B408B3E4}" xr6:coauthVersionLast="43" xr6:coauthVersionMax="43" xr10:uidLastSave="{00000000-0000-0000-0000-000000000000}"/>
  <bookViews>
    <workbookView xWindow="-120" yWindow="-120" windowWidth="29040" windowHeight="15840" activeTab="3" xr2:uid="{459126C2-7810-4F4F-BA5B-4C57E5C582D5}"/>
  </bookViews>
  <sheets>
    <sheet name="Exercício 1" sheetId="1" r:id="rId1"/>
    <sheet name="GABARITO 1" sheetId="2" r:id="rId2"/>
    <sheet name="Exercício 2" sheetId="3" r:id="rId3"/>
    <sheet name="GABARITO 2" sheetId="4" r:id="rId4"/>
    <sheet name="Exercício 3" sheetId="5" r:id="rId5"/>
    <sheet name="GABARITO 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7" i="4" l="1"/>
  <c r="C46" i="4"/>
  <c r="E55" i="4"/>
  <c r="E54" i="4"/>
  <c r="E53" i="4"/>
  <c r="P41" i="2" l="1"/>
  <c r="P38" i="2"/>
  <c r="E57" i="4"/>
  <c r="C73" i="6"/>
  <c r="B73" i="6"/>
  <c r="C75" i="6" s="1"/>
  <c r="B69" i="6"/>
  <c r="B53" i="6"/>
  <c r="B52" i="6"/>
  <c r="N38" i="2"/>
  <c r="N41" i="2"/>
  <c r="M41" i="2"/>
  <c r="M38" i="2"/>
  <c r="K41" i="2"/>
  <c r="J41" i="2"/>
  <c r="K38" i="2"/>
  <c r="J38" i="2"/>
  <c r="H41" i="2"/>
  <c r="H38" i="2"/>
  <c r="H33" i="2" l="1"/>
  <c r="H32" i="2"/>
  <c r="H31" i="2"/>
</calcChain>
</file>

<file path=xl/sharedStrings.xml><?xml version="1.0" encoding="utf-8"?>
<sst xmlns="http://schemas.openxmlformats.org/spreadsheetml/2006/main" count="252" uniqueCount="48">
  <si>
    <t>Dormitórios</t>
  </si>
  <si>
    <t>Depósitos</t>
  </si>
  <si>
    <t>Vagas de garagem</t>
  </si>
  <si>
    <t>Coluna1</t>
  </si>
  <si>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</si>
  <si>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</si>
  <si>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</si>
  <si>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</si>
  <si>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</si>
  <si>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</si>
  <si>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</si>
  <si>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</si>
  <si>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Regressão</t>
  </si>
  <si>
    <t>Resíduo</t>
  </si>
  <si>
    <t>Total</t>
  </si>
  <si>
    <t>Interseção</t>
  </si>
  <si>
    <t>gl</t>
  </si>
  <si>
    <t>SQ</t>
  </si>
  <si>
    <t>MQ</t>
  </si>
  <si>
    <t>F</t>
  </si>
  <si>
    <t>F de significação</t>
  </si>
  <si>
    <t>Coeficientes</t>
  </si>
  <si>
    <t>Stat t</t>
  </si>
  <si>
    <t>valor-P</t>
  </si>
  <si>
    <t>95% inferiores</t>
  </si>
  <si>
    <t>95% superiores</t>
  </si>
  <si>
    <t>Inferior 95,0%</t>
  </si>
  <si>
    <t>Superior 95,0%</t>
  </si>
  <si>
    <t>Variável X 1</t>
  </si>
  <si>
    <t>Variável X 2</t>
  </si>
  <si>
    <t>Variável X 3</t>
  </si>
  <si>
    <t>RESULTADOS DE PROBABILIDADE</t>
  </si>
  <si>
    <t>Percentil</t>
  </si>
  <si>
    <t>Y</t>
  </si>
  <si>
    <t>Vendedor</t>
  </si>
  <si>
    <t>Experiência (anos)</t>
  </si>
  <si>
    <t>Teste (1 a 3 )</t>
  </si>
  <si>
    <t>Resultado de vendas(1.000.000)</t>
  </si>
  <si>
    <t>Caixas</t>
  </si>
  <si>
    <t>Distância (Km)</t>
  </si>
  <si>
    <t>Tempo (minutos)</t>
  </si>
  <si>
    <t>Coluna2</t>
  </si>
  <si>
    <t>Coluna3</t>
  </si>
  <si>
    <t>Tempo (minutos) (Y)</t>
  </si>
  <si>
    <r>
      <t>Caixas (x</t>
    </r>
    <r>
      <rPr>
        <sz val="8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</t>
    </r>
  </si>
  <si>
    <r>
      <t>Distância (Km) (x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</si>
  <si>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Preço (US$ 1.000)</t>
  </si>
  <si>
    <t>Resultado de vendas(1.000)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</si>
</sst>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6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0" fillId="0" borderId="0" xfId="0" applyAlignment="1">
      <alignment horizontal="center"/>
    </xf>
    <xf numFmtId="0" fontId="0" fillId="0" borderId="0" xfId="0" applyAlignment="1"/>
    <xf numFmtId="164" fontId="0" fillId="0" borderId="0" xfId="0" applyNumberFormat="1" applyFill="1" applyBorder="1" applyAlignment="1"/>
    <xf numFmtId="2" fontId="0" fillId="0" borderId="0" xfId="0" applyNumberFormat="1"/>
    <xf numFmtId="2" fontId="3" fillId="0" borderId="0" xfId="0" applyNumberFormat="1" applyFont="1"/>
    <xf numFmtId="2" fontId="4" fillId="0" borderId="0" xfId="0" applyNumberFormat="1" applyFont="1"/>
    <xf numFmtId="0" fontId="4" fillId="0" borderId="0" xfId="0" applyFont="1"/>
    <xf numFmtId="2" fontId="5" fillId="0" borderId="0" xfId="0" applyNumberFormat="1" applyFont="1"/>
    <xf numFmtId="0" fontId="5" fillId="0" borderId="0" xfId="0" applyFont="1"/>
  </cellXfs>
  <cellStyles count="1">
    <cellStyle name="Normal" xfId="0" builtinId="0"/>
  </cellStyles>
  <dxfs count="18"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2</xdr:row>
      <xdr:rowOff>142875</xdr:rowOff>
    </xdr:from>
    <xdr:ext cx="8210550" cy="78124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D28B821-6331-40EA-A819-A9BA848DA930}"/>
            </a:ext>
          </a:extLst>
        </xdr:cNvPr>
        <xdr:cNvSpPr txBox="1"/>
      </xdr:nvSpPr>
      <xdr:spPr>
        <a:xfrm>
          <a:off x="133350" y="523875"/>
          <a:ext cx="821055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/>
            <a:t>A tabela abaixo é regularmente elaborada por um portal de ecommerce voltado para transações imoboliárias.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/>
            <a:t>Para medir a produtuvidade dos anuúcios, a cada entrada, a plataforma calcula a possibilidade</a:t>
          </a:r>
          <a:r>
            <a:rPr lang="pt-BR" sz="1100" baseline="0"/>
            <a:t> de venda que é fundamentalo para atrair compradores e manter anunciantes para aptos de 100 metros de área útil. 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Analise a partir da amostra baixo se a empresa foi bem sucedida.</a:t>
          </a:r>
          <a:endParaRPr lang="pt-BR">
            <a:effectLst/>
          </a:endParaRPr>
        </a:p>
        <a:p>
          <a:endParaRPr lang="pt-BR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1</xdr:row>
      <xdr:rowOff>133350</xdr:rowOff>
    </xdr:from>
    <xdr:ext cx="5753100" cy="123825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4475CABB-B35F-4D97-A398-F6DA48B8FEA2}"/>
            </a:ext>
          </a:extLst>
        </xdr:cNvPr>
        <xdr:cNvSpPr txBox="1"/>
      </xdr:nvSpPr>
      <xdr:spPr>
        <a:xfrm>
          <a:off x="180975" y="323850"/>
          <a:ext cx="5753100" cy="1238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100"/>
            <a:t>A empresa Digital Real Stat</a:t>
          </a:r>
          <a:r>
            <a:rPr lang="pt-BR" sz="1100" baseline="0"/>
            <a:t> se dedica á comercialização de edifícios e precisa estabelcer um critério para </a:t>
          </a:r>
          <a:r>
            <a:rPr lang="pt-BR" sz="1100"/>
            <a:t>analisar os resultados. Para tal fim,</a:t>
          </a:r>
          <a:r>
            <a:rPr lang="pt-BR" sz="1100" baseline="0"/>
            <a:t> elaborou um protótipo com apreocupação de isolar imóveis de 100 m²  com características específicas.</a:t>
          </a:r>
        </a:p>
        <a:p>
          <a:r>
            <a:rPr lang="pt-BR" sz="1100" baseline="0"/>
            <a:t>Analise a partir da amostra baixo se a empresa foi bem sucedida.</a:t>
          </a:r>
          <a:endParaRPr lang="pt-BR" sz="1100"/>
        </a:p>
      </xdr:txBody>
    </xdr:sp>
    <xdr:clientData/>
  </xdr:oneCellAnchor>
  <xdr:oneCellAnchor>
    <xdr:from>
      <xdr:col>0</xdr:col>
      <xdr:colOff>447675</xdr:colOff>
      <xdr:row>36</xdr:row>
      <xdr:rowOff>76199</xdr:rowOff>
    </xdr:from>
    <xdr:ext cx="6296025" cy="1628776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7FC86FB-A35D-4FF7-BA65-E6F502E51023}"/>
            </a:ext>
          </a:extLst>
        </xdr:cNvPr>
        <xdr:cNvSpPr txBox="1"/>
      </xdr:nvSpPr>
      <xdr:spPr>
        <a:xfrm>
          <a:off x="447675" y="6991349"/>
          <a:ext cx="6296025" cy="16287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400" b="1"/>
            <a:t>Qual seria o preço de 1 imóvel</a:t>
          </a:r>
          <a:r>
            <a:rPr lang="pt-BR" sz="1400" b="1" baseline="0"/>
            <a:t> com 4 dormitórios, 2 depósito e 3 garagens?</a:t>
          </a:r>
        </a:p>
        <a:p>
          <a:endParaRPr lang="pt-BR" sz="1400" b="1" baseline="0"/>
        </a:p>
        <a:p>
          <a:r>
            <a:rPr lang="pt-BR" sz="1400" b="1" baseline="0"/>
            <a:t>Calcule as variações com margem de erro padrão</a:t>
          </a:r>
        </a:p>
        <a:p>
          <a:endParaRPr lang="pt-BR" sz="1400" b="1" baseline="0"/>
        </a:p>
        <a:p>
          <a:r>
            <a:rPr lang="pt-BR" sz="1400" b="1" baseline="0"/>
            <a:t>Qual seria o preço do mesmo imóvel com apenas com 1 depósito?</a:t>
          </a:r>
          <a:endParaRPr lang="pt-BR" sz="1400" b="1"/>
        </a:p>
      </xdr:txBody>
    </xdr:sp>
    <xdr:clientData/>
  </xdr:oneCellAnchor>
  <xdr:oneCellAnchor>
    <xdr:from>
      <xdr:col>10</xdr:col>
      <xdr:colOff>466725</xdr:colOff>
      <xdr:row>31</xdr:row>
      <xdr:rowOff>66675</xdr:rowOff>
    </xdr:from>
    <xdr:ext cx="7096125" cy="36195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5B94A3A-23E5-494E-9EC0-52873AEFB0A7}"/>
            </a:ext>
          </a:extLst>
        </xdr:cNvPr>
        <xdr:cNvSpPr txBox="1"/>
      </xdr:nvSpPr>
      <xdr:spPr>
        <a:xfrm>
          <a:off x="10267950" y="6029325"/>
          <a:ext cx="7096125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Note como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 valor obtido pela equação se transforma no ponto médio entre o acréscimo e o decréscimo do  erro padrão.</a:t>
          </a:r>
          <a:endParaRPr lang="pt-BR">
            <a:effectLst/>
          </a:endParaRPr>
        </a:p>
        <a:p>
          <a:endParaRPr lang="pt-BR" sz="1100"/>
        </a:p>
      </xdr:txBody>
    </xdr:sp>
    <xdr:clientData/>
  </xdr:oneCellAnchor>
  <xdr:twoCellAnchor>
    <xdr:from>
      <xdr:col>13</xdr:col>
      <xdr:colOff>862013</xdr:colOff>
      <xdr:row>33</xdr:row>
      <xdr:rowOff>47625</xdr:rowOff>
    </xdr:from>
    <xdr:to>
      <xdr:col>15</xdr:col>
      <xdr:colOff>419100</xdr:colOff>
      <xdr:row>36</xdr:row>
      <xdr:rowOff>152400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B6335535-802C-4FF3-8E45-F3621A74DB34}"/>
            </a:ext>
          </a:extLst>
        </xdr:cNvPr>
        <xdr:cNvCxnSpPr>
          <a:stCxn id="3" idx="2"/>
        </xdr:cNvCxnSpPr>
      </xdr:nvCxnSpPr>
      <xdr:spPr>
        <a:xfrm>
          <a:off x="13816013" y="6391275"/>
          <a:ext cx="1671637" cy="676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171449</xdr:colOff>
      <xdr:row>20</xdr:row>
      <xdr:rowOff>180975</xdr:rowOff>
    </xdr:from>
    <xdr:ext cx="6181725" cy="144780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75AD3960-781E-4EF7-9598-7F9FA2DEB068}"/>
            </a:ext>
          </a:extLst>
        </xdr:cNvPr>
        <xdr:cNvSpPr txBox="1"/>
      </xdr:nvSpPr>
      <xdr:spPr>
        <a:xfrm>
          <a:off x="171449" y="4019550"/>
          <a:ext cx="6181725" cy="1447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pt-BR" sz="1400" b="1"/>
            <a:t>Note que a variável X2</a:t>
          </a:r>
          <a:r>
            <a:rPr lang="pt-BR" sz="1400" b="1" baseline="0"/>
            <a:t> depóstisos é negativa e o intervalo de 95%  inferiores e </a:t>
          </a:r>
        </a:p>
        <a:p>
          <a:pPr algn="l"/>
          <a:r>
            <a:rPr lang="pt-BR" sz="1400" b="1" baseline="0"/>
            <a:t> superiores não chega até zero, o que valida o número, mesmo com sinal negativo.</a:t>
          </a:r>
        </a:p>
        <a:p>
          <a:pPr algn="l"/>
          <a:r>
            <a:rPr lang="pt-BR" sz="1400" b="1" baseline="0"/>
            <a:t>O seu Stat t (-2,86) é menor que -2,78, o que também valida o número.</a:t>
          </a:r>
        </a:p>
        <a:p>
          <a:pPr algn="l"/>
          <a:r>
            <a:rPr lang="pt-BR" sz="1400" b="1" baseline="0"/>
            <a:t>Concluindo, com margem de segurança confiável a variável X2 contribui  para a </a:t>
          </a:r>
        </a:p>
        <a:p>
          <a:pPr algn="l"/>
          <a:r>
            <a:rPr lang="pt-BR" sz="1400" b="1" baseline="0"/>
            <a:t>redução do valor do imóvel. Nem sempre um número com sinal negativo indica </a:t>
          </a:r>
        </a:p>
        <a:p>
          <a:pPr algn="l"/>
          <a:r>
            <a:rPr lang="pt-BR" sz="1400" b="1" baseline="0"/>
            <a:t>erro, o importante é avaliar as margens de erro presentes na variável. </a:t>
          </a:r>
          <a:endParaRPr lang="pt-BR" sz="1400" b="1"/>
        </a:p>
      </xdr:txBody>
    </xdr:sp>
    <xdr:clientData/>
  </xdr:oneCellAnchor>
  <xdr:oneCellAnchor>
    <xdr:from>
      <xdr:col>0</xdr:col>
      <xdr:colOff>485775</xdr:colOff>
      <xdr:row>29</xdr:row>
      <xdr:rowOff>180974</xdr:rowOff>
    </xdr:from>
    <xdr:ext cx="5524500" cy="1228725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AD732DC0-E5A2-4065-A172-D1F68C4C548A}"/>
            </a:ext>
          </a:extLst>
        </xdr:cNvPr>
        <xdr:cNvSpPr txBox="1"/>
      </xdr:nvSpPr>
      <xdr:spPr>
        <a:xfrm>
          <a:off x="485775" y="5762624"/>
          <a:ext cx="5524500" cy="1228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Cáculo do intervalo de risco para o Stat 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4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effectLst/>
            </a:rPr>
            <a:t>Lembrar que é um intervalo de risco (valor - e + ) para o Stat t,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effectLst/>
            </a:rPr>
            <a:t>logo esse</a:t>
          </a:r>
          <a:r>
            <a:rPr lang="pt-BR" sz="1400" b="1" baseline="0">
              <a:effectLst/>
            </a:rPr>
            <a:t> deve ficar fora da área calculada.</a:t>
          </a:r>
          <a:endParaRPr lang="pt-BR" sz="1400" b="1">
            <a:effectLst/>
          </a:endParaRPr>
        </a:p>
        <a:p>
          <a:endParaRPr lang="pt-BR" sz="1100"/>
        </a:p>
      </xdr:txBody>
    </xdr:sp>
    <xdr:clientData/>
  </xdr:oneCellAnchor>
  <xdr:twoCellAnchor>
    <xdr:from>
      <xdr:col>6</xdr:col>
      <xdr:colOff>9525</xdr:colOff>
      <xdr:row>25</xdr:row>
      <xdr:rowOff>76200</xdr:rowOff>
    </xdr:from>
    <xdr:to>
      <xdr:col>7</xdr:col>
      <xdr:colOff>28575</xdr:colOff>
      <xdr:row>26</xdr:row>
      <xdr:rowOff>104775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15F33CDA-224A-4B8A-9CFE-5F3AB25E2D65}"/>
            </a:ext>
          </a:extLst>
        </xdr:cNvPr>
        <xdr:cNvCxnSpPr/>
      </xdr:nvCxnSpPr>
      <xdr:spPr>
        <a:xfrm>
          <a:off x="6124575" y="4886325"/>
          <a:ext cx="628650" cy="219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628650</xdr:colOff>
      <xdr:row>30</xdr:row>
      <xdr:rowOff>171450</xdr:rowOff>
    </xdr:from>
    <xdr:to>
      <xdr:col>7</xdr:col>
      <xdr:colOff>581025</xdr:colOff>
      <xdr:row>31</xdr:row>
      <xdr:rowOff>123825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71C5BFDA-092F-4177-92C4-F16905A403B5}"/>
            </a:ext>
          </a:extLst>
        </xdr:cNvPr>
        <xdr:cNvCxnSpPr/>
      </xdr:nvCxnSpPr>
      <xdr:spPr>
        <a:xfrm>
          <a:off x="3648075" y="5943600"/>
          <a:ext cx="3657600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228601</xdr:colOff>
      <xdr:row>1</xdr:row>
      <xdr:rowOff>171450</xdr:rowOff>
    </xdr:from>
    <xdr:ext cx="7467600" cy="78124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8CC13A0-7824-4E1A-BAD6-C0AE96E22E33}"/>
            </a:ext>
          </a:extLst>
        </xdr:cNvPr>
        <xdr:cNvSpPr txBox="1"/>
      </xdr:nvSpPr>
      <xdr:spPr>
        <a:xfrm>
          <a:off x="838201" y="361950"/>
          <a:ext cx="74676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/>
            <a:t>uma loja de shopping adotou a prestação de serviços</a:t>
          </a:r>
          <a:r>
            <a:rPr lang="pt-BR" sz="1100" baseline="0"/>
            <a:t> como a estratégia mais relevante para se diferenciar do</a:t>
          </a:r>
        </a:p>
        <a:p>
          <a:r>
            <a:rPr lang="pt-BR" sz="1100" baseline="0"/>
            <a:t>comércio eletônico. Para tal fim agregou ao relatório tradicional a experiência e avaliação no teste de conhecimento de produto</a:t>
          </a:r>
        </a:p>
        <a:p>
          <a:r>
            <a:rPr lang="pt-BR" sz="1100" baseline="0"/>
            <a:t>que é realizado quando novos produtos chegam à loja.</a:t>
          </a:r>
        </a:p>
        <a:p>
          <a:endParaRPr lang="pt-BR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638175</xdr:colOff>
      <xdr:row>1</xdr:row>
      <xdr:rowOff>142875</xdr:rowOff>
    </xdr:from>
    <xdr:ext cx="11925300" cy="104775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B222AEA-9456-4CC7-9325-1511AAD8319A}"/>
            </a:ext>
          </a:extLst>
        </xdr:cNvPr>
        <xdr:cNvSpPr txBox="1"/>
      </xdr:nvSpPr>
      <xdr:spPr>
        <a:xfrm>
          <a:off x="1247775" y="333375"/>
          <a:ext cx="11925300" cy="1047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Uma loja de shopping adotou a prestação de serviços</a:t>
          </a: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como a estratégia mais relevante para se diferenciar do</a:t>
          </a:r>
          <a:endParaRPr lang="pt-BR" sz="1600">
            <a:effectLst/>
          </a:endParaRPr>
        </a:p>
        <a:p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comércio eletônico. Para tal fim agregou ao relatório tradicional a experiência e avaliação no teste de conhecimento de produto</a:t>
          </a:r>
          <a:endParaRPr lang="pt-BR" sz="1600">
            <a:effectLst/>
          </a:endParaRPr>
        </a:p>
        <a:p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que é realizado quando novos produtos chegam à loja. Qual seria o volume de vendas para um vendedor de 10 anos com nota 3 no teste.</a:t>
          </a:r>
        </a:p>
        <a:p>
          <a:endParaRPr lang="pt-BR" sz="1100"/>
        </a:p>
      </xdr:txBody>
    </xdr:sp>
    <xdr:clientData/>
  </xdr:oneCellAnchor>
  <xdr:oneCellAnchor>
    <xdr:from>
      <xdr:col>4</xdr:col>
      <xdr:colOff>419100</xdr:colOff>
      <xdr:row>48</xdr:row>
      <xdr:rowOff>0</xdr:rowOff>
    </xdr:from>
    <xdr:ext cx="8124825" cy="405432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D00BD1EE-624A-49AA-8221-4D94F5511170}"/>
            </a:ext>
          </a:extLst>
        </xdr:cNvPr>
        <xdr:cNvSpPr txBox="1"/>
      </xdr:nvSpPr>
      <xdr:spPr>
        <a:xfrm>
          <a:off x="4791075" y="9201150"/>
          <a:ext cx="812482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2000"/>
            <a:t>equação:</a:t>
          </a:r>
          <a:r>
            <a:rPr lang="pt-BR" sz="2000" baseline="0"/>
            <a:t> -0,262711864 + 0,745762712 x</a:t>
          </a:r>
          <a:r>
            <a:rPr lang="pt-BR" sz="1200" b="1" baseline="0"/>
            <a:t>1</a:t>
          </a:r>
          <a:r>
            <a:rPr lang="pt-BR" sz="2000" baseline="0"/>
            <a:t> + 1,33983051 x</a:t>
          </a:r>
          <a:r>
            <a:rPr lang="pt-BR" sz="1200" b="1" baseline="0"/>
            <a:t>2 =  </a:t>
          </a:r>
          <a:r>
            <a:rPr lang="pt-BR" sz="2000" b="1" baseline="0"/>
            <a:t>11.211,186</a:t>
          </a:r>
          <a:endParaRPr lang="pt-BR" sz="2000" b="1"/>
        </a:p>
      </xdr:txBody>
    </xdr:sp>
    <xdr:clientData/>
  </xdr:oneCellAnchor>
  <xdr:oneCellAnchor>
    <xdr:from>
      <xdr:col>6</xdr:col>
      <xdr:colOff>838199</xdr:colOff>
      <xdr:row>57</xdr:row>
      <xdr:rowOff>133350</xdr:rowOff>
    </xdr:from>
    <xdr:ext cx="9039225" cy="295275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6EBB9CF-5FCD-485F-9E39-93C4E9BBA96A}"/>
            </a:ext>
          </a:extLst>
        </xdr:cNvPr>
        <xdr:cNvSpPr txBox="1"/>
      </xdr:nvSpPr>
      <xdr:spPr>
        <a:xfrm>
          <a:off x="8296274" y="11906250"/>
          <a:ext cx="9039225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400" b="1"/>
            <a:t>Note como</a:t>
          </a:r>
          <a:r>
            <a:rPr lang="pt-BR" sz="1400" b="1" baseline="0"/>
            <a:t> o valor obtido pela equação se transforma no ponto médio entre o acréscimo e o decréscimo do erro padrão</a:t>
          </a:r>
          <a:r>
            <a:rPr lang="pt-BR" sz="1400" baseline="0"/>
            <a:t>.</a:t>
          </a:r>
          <a:endParaRPr lang="pt-BR" sz="1400"/>
        </a:p>
      </xdr:txBody>
    </xdr:sp>
    <xdr:clientData/>
  </xdr:oneCellAnchor>
  <xdr:twoCellAnchor>
    <xdr:from>
      <xdr:col>5</xdr:col>
      <xdr:colOff>57151</xdr:colOff>
      <xdr:row>56</xdr:row>
      <xdr:rowOff>114304</xdr:rowOff>
    </xdr:from>
    <xdr:to>
      <xdr:col>6</xdr:col>
      <xdr:colOff>838199</xdr:colOff>
      <xdr:row>58</xdr:row>
      <xdr:rowOff>90488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D5BD58DF-A8A1-4622-8828-E874E0D2C3BD}"/>
            </a:ext>
          </a:extLst>
        </xdr:cNvPr>
        <xdr:cNvCxnSpPr>
          <a:stCxn id="5" idx="1"/>
        </xdr:cNvCxnSpPr>
      </xdr:nvCxnSpPr>
      <xdr:spPr>
        <a:xfrm flipH="1" flipV="1">
          <a:off x="6715126" y="11525254"/>
          <a:ext cx="1581148" cy="52863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419100</xdr:colOff>
      <xdr:row>53</xdr:row>
      <xdr:rowOff>9525</xdr:rowOff>
    </xdr:from>
    <xdr:ext cx="4668730" cy="857250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DAE18326-D392-4F5D-AC99-B6E259DA10B0}"/>
            </a:ext>
          </a:extLst>
        </xdr:cNvPr>
        <xdr:cNvSpPr txBox="1"/>
      </xdr:nvSpPr>
      <xdr:spPr>
        <a:xfrm>
          <a:off x="419100" y="10334625"/>
          <a:ext cx="4668730" cy="857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eaLnBrk="1" fontAlgn="auto" latinLnBrk="0" hangingPunct="1"/>
          <a:r>
            <a:rPr lang="pt-B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Cáculo do intervalo de risco para o Stat t</a:t>
          </a:r>
          <a:endParaRPr lang="pt-BR" sz="1400">
            <a:effectLst/>
          </a:endParaRPr>
        </a:p>
        <a:p>
          <a:pPr eaLnBrk="1" fontAlgn="auto" latinLnBrk="0" hangingPunct="1"/>
          <a:r>
            <a:rPr lang="pt-B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Lembrar que é um intervalo de risco (valor - e + ) para </a:t>
          </a:r>
        </a:p>
        <a:p>
          <a:pPr eaLnBrk="1" fontAlgn="auto" latinLnBrk="0" hangingPunct="1"/>
          <a:r>
            <a:rPr lang="pt-B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 Stat t, logo esse</a:t>
          </a:r>
          <a:r>
            <a:rPr lang="pt-BR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deve ficar fora da área calculada.</a:t>
          </a:r>
          <a:endParaRPr lang="pt-BR" sz="1400">
            <a:effectLst/>
          </a:endParaRPr>
        </a:p>
        <a:p>
          <a:endParaRPr lang="pt-BR" sz="1100"/>
        </a:p>
      </xdr:txBody>
    </xdr:sp>
    <xdr:clientData/>
  </xdr:oneCellAnchor>
  <xdr:twoCellAnchor>
    <xdr:from>
      <xdr:col>1</xdr:col>
      <xdr:colOff>923925</xdr:colOff>
      <xdr:row>47</xdr:row>
      <xdr:rowOff>19050</xdr:rowOff>
    </xdr:from>
    <xdr:to>
      <xdr:col>2</xdr:col>
      <xdr:colOff>990600</xdr:colOff>
      <xdr:row>52</xdr:row>
      <xdr:rowOff>247650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377F50BF-36ED-4D20-9B32-35AC672EB2B4}"/>
            </a:ext>
          </a:extLst>
        </xdr:cNvPr>
        <xdr:cNvCxnSpPr/>
      </xdr:nvCxnSpPr>
      <xdr:spPr>
        <a:xfrm flipV="1">
          <a:off x="1533525" y="9029700"/>
          <a:ext cx="1314450" cy="1181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1666874</xdr:colOff>
      <xdr:row>45</xdr:row>
      <xdr:rowOff>38100</xdr:rowOff>
    </xdr:from>
    <xdr:ext cx="3724275" cy="43815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55B1E3ED-EC6B-4C7E-BD55-EA1376E73CB9}"/>
            </a:ext>
          </a:extLst>
        </xdr:cNvPr>
        <xdr:cNvSpPr txBox="1"/>
      </xdr:nvSpPr>
      <xdr:spPr>
        <a:xfrm>
          <a:off x="6038849" y="8667750"/>
          <a:ext cx="3724275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600" b="1"/>
            <a:t>Cálculo do valor de vendas previsto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2</xdr:row>
      <xdr:rowOff>95250</xdr:rowOff>
    </xdr:from>
    <xdr:ext cx="7170809" cy="436786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CFE263F-88F4-4415-967D-74717AE4BBE5}"/>
            </a:ext>
          </a:extLst>
        </xdr:cNvPr>
        <xdr:cNvSpPr txBox="1"/>
      </xdr:nvSpPr>
      <xdr:spPr>
        <a:xfrm>
          <a:off x="876300" y="476250"/>
          <a:ext cx="717080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O engenheiro de uma empresa se dedica a organizar a melhor distribuição logística de caixas em função da distância para </a:t>
          </a:r>
        </a:p>
        <a:p>
          <a:r>
            <a:rPr lang="pt-BR" sz="1100"/>
            <a:t>maximizar o retorno conform se vê na tabela abaixo.  Calcule a regressão mais adequada.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76200</xdr:rowOff>
    </xdr:from>
    <xdr:ext cx="7170809" cy="609013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E0B02CB-84E8-4597-A696-52DC40D4C28B}"/>
            </a:ext>
          </a:extLst>
        </xdr:cNvPr>
        <xdr:cNvSpPr txBox="1"/>
      </xdr:nvSpPr>
      <xdr:spPr>
        <a:xfrm>
          <a:off x="638175" y="457200"/>
          <a:ext cx="7170809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 engenheiro de uma empresa se dedica a organizar a melhor distribuição logística de caixas em função da distância para </a:t>
          </a:r>
          <a:endParaRPr lang="pt-BR">
            <a:effectLst/>
          </a:endParaRPr>
        </a:p>
        <a:p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maximizar o retorno conform se vê na tabela abaixo.  Calcule a regressão mais adequada.</a:t>
          </a:r>
          <a:endParaRPr lang="pt-BR">
            <a:effectLst/>
          </a:endParaRPr>
        </a:p>
        <a:p>
          <a:endParaRPr lang="pt-BR" sz="1100"/>
        </a:p>
      </xdr:txBody>
    </xdr:sp>
    <xdr:clientData/>
  </xdr:oneCellAnchor>
  <xdr:oneCellAnchor>
    <xdr:from>
      <xdr:col>0</xdr:col>
      <xdr:colOff>914401</xdr:colOff>
      <xdr:row>55</xdr:row>
      <xdr:rowOff>47625</xdr:rowOff>
    </xdr:from>
    <xdr:ext cx="7981950" cy="2219325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EE2497E3-E7FD-4828-A2A7-9F00C08A759B}"/>
            </a:ext>
          </a:extLst>
        </xdr:cNvPr>
        <xdr:cNvSpPr txBox="1"/>
      </xdr:nvSpPr>
      <xdr:spPr>
        <a:xfrm>
          <a:off x="914401" y="10582275"/>
          <a:ext cx="7981950" cy="2219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2800"/>
            <a:t>Equação será:</a:t>
          </a:r>
          <a:r>
            <a:rPr lang="pt-BR" sz="2800" baseline="0"/>
            <a:t> 2,31120 + 0,87720 x</a:t>
          </a:r>
          <a:r>
            <a:rPr lang="pt-BR" sz="1400" b="1" baseline="0"/>
            <a:t>1</a:t>
          </a:r>
          <a:r>
            <a:rPr lang="pt-BR" sz="2800" baseline="0"/>
            <a:t> + 0,455920 x</a:t>
          </a:r>
          <a:r>
            <a:rPr lang="pt-BR" sz="1400" b="1" baseline="0"/>
            <a:t>2</a:t>
          </a:r>
        </a:p>
        <a:p>
          <a:endParaRPr lang="pt-BR" sz="1400" b="1" baseline="0"/>
        </a:p>
        <a:p>
          <a:r>
            <a:rPr lang="pt-BR" sz="1400" b="1" baseline="0"/>
            <a:t>Tempo para transportar 40 caixas com 45 km será:</a:t>
          </a:r>
        </a:p>
        <a:p>
          <a:endParaRPr lang="pt-BR" sz="1400" b="1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8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2,31120 + (0,87720 x 40) + (0,455920 x45) = 57,92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8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ou seja 58 minutos.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2800" b="0">
            <a:effectLst/>
          </a:endParaRPr>
        </a:p>
        <a:p>
          <a:endParaRPr lang="pt-BR" sz="1400" b="1" baseline="0"/>
        </a:p>
        <a:p>
          <a:endParaRPr lang="pt-BR" sz="1400" b="1"/>
        </a:p>
      </xdr:txBody>
    </xdr:sp>
    <xdr:clientData/>
  </xdr:oneCellAnchor>
  <xdr:oneCellAnchor>
    <xdr:from>
      <xdr:col>3</xdr:col>
      <xdr:colOff>1095375</xdr:colOff>
      <xdr:row>75</xdr:row>
      <xdr:rowOff>38099</xdr:rowOff>
    </xdr:from>
    <xdr:ext cx="11658600" cy="809625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B2E1C845-2392-422D-BC41-B47BD9945719}"/>
            </a:ext>
          </a:extLst>
        </xdr:cNvPr>
        <xdr:cNvSpPr txBox="1"/>
      </xdr:nvSpPr>
      <xdr:spPr>
        <a:xfrm>
          <a:off x="5829300" y="15078074"/>
          <a:ext cx="11658600" cy="8096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Note como</a:t>
          </a:r>
          <a:r>
            <a:rPr lang="pt-BR" sz="2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 valor obtido pela equação se transforma no ponto médio entre o acréscimo e o decréscimo do  erro padrão</a:t>
          </a:r>
          <a:r>
            <a:rPr lang="pt-BR" sz="2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pt-BR" sz="2000">
            <a:effectLst/>
          </a:endParaRPr>
        </a:p>
        <a:p>
          <a:endParaRPr lang="pt-BR" sz="1100"/>
        </a:p>
      </xdr:txBody>
    </xdr:sp>
    <xdr:clientData/>
  </xdr:oneCellAnchor>
  <xdr:twoCellAnchor>
    <xdr:from>
      <xdr:col>3</xdr:col>
      <xdr:colOff>76201</xdr:colOff>
      <xdr:row>74</xdr:row>
      <xdr:rowOff>133350</xdr:rowOff>
    </xdr:from>
    <xdr:to>
      <xdr:col>3</xdr:col>
      <xdr:colOff>1095375</xdr:colOff>
      <xdr:row>77</xdr:row>
      <xdr:rowOff>61912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36267679-9581-4C54-81EF-C94900E1FE3D}"/>
            </a:ext>
          </a:extLst>
        </xdr:cNvPr>
        <xdr:cNvCxnSpPr>
          <a:stCxn id="6" idx="1"/>
        </xdr:cNvCxnSpPr>
      </xdr:nvCxnSpPr>
      <xdr:spPr>
        <a:xfrm flipH="1" flipV="1">
          <a:off x="4810126" y="14811375"/>
          <a:ext cx="1019174" cy="6715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1009650</xdr:colOff>
      <xdr:row>69</xdr:row>
      <xdr:rowOff>161925</xdr:rowOff>
    </xdr:from>
    <xdr:ext cx="6029325" cy="47625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68D3517-EBC7-4755-9029-A74C4849BD58}"/>
            </a:ext>
          </a:extLst>
        </xdr:cNvPr>
        <xdr:cNvSpPr txBox="1"/>
      </xdr:nvSpPr>
      <xdr:spPr>
        <a:xfrm>
          <a:off x="1009650" y="13449300"/>
          <a:ext cx="6029325" cy="476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2000"/>
            <a:t>Média entre o acréscimo e o decréscimo do erro padrão</a:t>
          </a:r>
        </a:p>
      </xdr:txBody>
    </xdr:sp>
    <xdr:clientData/>
  </xdr:oneCellAnchor>
  <xdr:oneCellAnchor>
    <xdr:from>
      <xdr:col>2</xdr:col>
      <xdr:colOff>647700</xdr:colOff>
      <xdr:row>51</xdr:row>
      <xdr:rowOff>152400</xdr:rowOff>
    </xdr:from>
    <xdr:ext cx="6534150" cy="657225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AAFA9637-0C1F-472A-9B9C-0270C7A05C13}"/>
            </a:ext>
          </a:extLst>
        </xdr:cNvPr>
        <xdr:cNvSpPr txBox="1"/>
      </xdr:nvSpPr>
      <xdr:spPr>
        <a:xfrm>
          <a:off x="3781425" y="9963150"/>
          <a:ext cx="6534150" cy="657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eaLnBrk="1" fontAlgn="auto" latinLnBrk="0" hangingPunct="1"/>
          <a:r>
            <a:rPr lang="pt-BR" sz="1400"/>
            <a:t>Cáculo do intervalo de risco para o Stat t: </a:t>
          </a:r>
          <a:r>
            <a:rPr lang="pt-B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Cáculo do intervalo de risco para o Stat t</a:t>
          </a:r>
          <a:endParaRPr lang="pt-BR" sz="1400">
            <a:effectLst/>
          </a:endParaRPr>
        </a:p>
        <a:p>
          <a:pPr eaLnBrk="1" fontAlgn="auto" latinLnBrk="0" hangingPunct="1"/>
          <a:r>
            <a:rPr lang="pt-B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Lembrar que é um intervalo de risco (valor - e + ) para o Stat t, logo esse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deve ficar fora da área calculada.</a:t>
          </a:r>
          <a:endParaRPr lang="pt-BR" sz="1400">
            <a:effectLst/>
          </a:endParaRPr>
        </a:p>
        <a:p>
          <a:endParaRPr lang="pt-BR" sz="1400"/>
        </a:p>
      </xdr:txBody>
    </xdr:sp>
    <xdr:clientData/>
  </xdr:oneCellAnchor>
  <xdr:twoCellAnchor>
    <xdr:from>
      <xdr:col>1</xdr:col>
      <xdr:colOff>2066925</xdr:colOff>
      <xdr:row>52</xdr:row>
      <xdr:rowOff>9527</xdr:rowOff>
    </xdr:from>
    <xdr:to>
      <xdr:col>2</xdr:col>
      <xdr:colOff>647700</xdr:colOff>
      <xdr:row>53</xdr:row>
      <xdr:rowOff>100013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1BD014F6-202B-45BA-A24C-27D4F87D05F8}"/>
            </a:ext>
          </a:extLst>
        </xdr:cNvPr>
        <xdr:cNvCxnSpPr>
          <a:stCxn id="12" idx="1"/>
        </xdr:cNvCxnSpPr>
      </xdr:nvCxnSpPr>
      <xdr:spPr>
        <a:xfrm flipH="1" flipV="1">
          <a:off x="3114675" y="10010777"/>
          <a:ext cx="666750" cy="2809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3A7894-CEA4-405E-8BB6-CA1533DD6975}" name="Tabela3623" displayName="Tabela3623" ref="A10:D18" totalsRowShown="0">
  <autoFilter ref="A10:D18" xr:uid="{6F20BC47-A335-45C6-BE2F-96CA133D2C8F}"/>
  <tableColumns count="4">
    <tableColumn id="1" xr3:uid="{A4B10D66-2677-4C56-9E82-C69437EA8F82}" name="Dormitórios"/>
    <tableColumn id="2" xr3:uid="{F4B17E9B-CF22-441F-9D15-8AA7EB9A844B}" name="Depósitos"/>
    <tableColumn id="3" xr3:uid="{1063D1F9-EE23-4F64-885F-A81143E162C0}" name="Vagas de garagem"/>
    <tableColumn id="4" xr3:uid="{6B8943F4-BFBE-4EB4-80FC-FC660348B889}" name="Preço (US$ 1.000)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FC5274-51C8-4CA6-BA23-5ACEA7AB3656}" name="Tabela362" displayName="Tabela362" ref="B11:E19" totalsRowShown="0">
  <autoFilter ref="B11:E19" xr:uid="{29CFEDC5-70BD-4BAD-B03F-778F8D81537C}"/>
  <tableColumns count="4">
    <tableColumn id="1" xr3:uid="{46A21FF3-5D87-4978-AABD-AC39C97F0B19}" name="Dormitórios"/>
    <tableColumn id="2" xr3:uid="{6ACBBF6F-E5E3-46C5-B2D4-2362F909229F}" name="Depósitos"/>
    <tableColumn id="3" xr3:uid="{08C79C0D-8B7E-4F8F-B5CE-DB3B22913589}" name="Vagas de garagem"/>
    <tableColumn id="4" xr3:uid="{D5F3C171-5FA6-40AF-BAA4-7C1E0CDB7E83}" name="Preço (US$ 1.000)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8FC642-30AB-404D-8A59-FAF041BCDFC8}" name="Tabela5" displayName="Tabela5" ref="C8:F18" totalsRowShown="0" headerRowDxfId="17" dataDxfId="16">
  <autoFilter ref="C8:F18" xr:uid="{B40AFBDE-6B2F-42CB-9B1F-CCE5621B6FD6}"/>
  <tableColumns count="4">
    <tableColumn id="1" xr3:uid="{588D8D08-143F-4CA5-A677-03459D70C358}" name="Vendedor" dataDxfId="15"/>
    <tableColumn id="2" xr3:uid="{05A50915-3ED4-40BA-A9AE-A8205CE76114}" name="Experiência (anos)" dataDxfId="14"/>
    <tableColumn id="3" xr3:uid="{0D0BE8CF-D292-403E-AF1A-2A4587FA8753}" name="Teste (1 a 3 )" dataDxfId="13"/>
    <tableColumn id="4" xr3:uid="{14A230B3-0FC8-491A-BE13-7FE49901A3D5}" name="Resultado de vendas(1.000.000)" dataDxfId="12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D9CE6E-88FF-438B-91CF-F8E096258A13}" name="Tabela4" displayName="Tabela4" ref="B9:E19" totalsRowShown="0" headerRowDxfId="11" dataDxfId="10">
  <autoFilter ref="B9:E19" xr:uid="{87A85720-A429-4918-B981-3D4CF2EA2AC5}"/>
  <tableColumns count="4">
    <tableColumn id="1" xr3:uid="{9BBBB385-058A-4421-915E-96AB5B3BAAF6}" name="Vendedor" dataDxfId="9"/>
    <tableColumn id="2" xr3:uid="{A468D16E-2F69-4BC7-BE4F-BC50F1A6D1B3}" name="Experiência (anos)" dataDxfId="8"/>
    <tableColumn id="3" xr3:uid="{6097D856-F56D-4E5A-BFA9-8EC213118883}" name="Teste (1 a 3 )" dataDxfId="7"/>
    <tableColumn id="4" xr3:uid="{060D5086-37DF-4BB5-A54E-5A54373A0BAE}" name="Resultado de vendas(1.000)" dataDxfId="6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2BB245-131C-4F74-B12E-72BA6B03C364}" name="Tabela6" displayName="Tabela6" ref="B6:D23" totalsRowShown="0">
  <autoFilter ref="B6:D23" xr:uid="{B1420FE2-1828-4A90-BD8D-4EA006D62F3A}"/>
  <tableColumns count="3">
    <tableColumn id="1" xr3:uid="{A07D434B-0963-4BF7-96A1-D0173B14BC56}" name="Coluna1" dataDxfId="5"/>
    <tableColumn id="2" xr3:uid="{5491B44D-0814-4EC2-A851-824951C7B438}" name="Coluna2" dataDxfId="4"/>
    <tableColumn id="3" xr3:uid="{42AA1322-5FA5-4FED-AEF4-E4C284101573}" name="Coluna3" dataDxfId="3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27FA615-8FF5-4DFB-B1B4-5EF836B796E9}" name="Tabela68" displayName="Tabela68" ref="B8:D25" totalsRowShown="0">
  <autoFilter ref="B8:D25" xr:uid="{C2F5D7C5-D1D3-4753-9438-D306FCCBE64B}"/>
  <tableColumns count="3">
    <tableColumn id="1" xr3:uid="{2711E8F2-B94D-411B-A806-D609C8505890}" name="Coluna1" dataDxfId="2"/>
    <tableColumn id="2" xr3:uid="{854F5C4A-5335-4FD6-A495-03E2E54C5698}" name="Coluna2" dataDxfId="1"/>
    <tableColumn id="3" xr3:uid="{CA9D22B5-2950-43AE-95B8-9E97BF031EAB}" name="Coluna3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B444-83DD-4739-8208-A4FDC90BDAAB}">
  <dimension ref="A10:D18"/>
  <sheetViews>
    <sheetView workbookViewId="0">
      <selection activeCell="D10" sqref="D10"/>
    </sheetView>
  </sheetViews>
  <sheetFormatPr defaultRowHeight="15" x14ac:dyDescent="0.25"/>
  <cols>
    <col min="1" max="1" width="18.42578125" customWidth="1"/>
    <col min="2" max="2" width="18.28515625" customWidth="1"/>
    <col min="3" max="3" width="19" customWidth="1"/>
    <col min="4" max="4" width="18.5703125" customWidth="1"/>
  </cols>
  <sheetData>
    <row r="10" spans="1:4" x14ac:dyDescent="0.25">
      <c r="A10" t="s">
        <v>0</v>
      </c>
      <c r="B10" t="s">
        <v>1</v>
      </c>
      <c r="C10" t="s">
        <v>2</v>
      </c>
      <c r="D10" t="s">
        <v>46</v>
      </c>
    </row>
    <row r="11" spans="1:4" x14ac:dyDescent="0.25">
      <c r="A11">
        <v>4</v>
      </c>
      <c r="B11">
        <v>2</v>
      </c>
      <c r="C11">
        <v>3</v>
      </c>
      <c r="D11">
        <v>495</v>
      </c>
    </row>
    <row r="12" spans="1:4" x14ac:dyDescent="0.25">
      <c r="A12">
        <v>3</v>
      </c>
      <c r="B12">
        <v>2</v>
      </c>
      <c r="C12">
        <v>3</v>
      </c>
      <c r="D12">
        <v>420</v>
      </c>
    </row>
    <row r="13" spans="1:4" x14ac:dyDescent="0.25">
      <c r="A13">
        <v>4</v>
      </c>
      <c r="B13">
        <v>3</v>
      </c>
      <c r="C13">
        <v>2</v>
      </c>
      <c r="D13">
        <v>422</v>
      </c>
    </row>
    <row r="14" spans="1:4" x14ac:dyDescent="0.25">
      <c r="A14">
        <v>5</v>
      </c>
      <c r="B14">
        <v>3</v>
      </c>
      <c r="C14">
        <v>3</v>
      </c>
      <c r="D14">
        <v>557</v>
      </c>
    </row>
    <row r="15" spans="1:4" x14ac:dyDescent="0.25">
      <c r="A15">
        <v>3</v>
      </c>
      <c r="B15">
        <v>2</v>
      </c>
      <c r="C15">
        <v>1</v>
      </c>
      <c r="D15">
        <v>270</v>
      </c>
    </row>
    <row r="16" spans="1:4" x14ac:dyDescent="0.25">
      <c r="A16">
        <v>2</v>
      </c>
      <c r="B16">
        <v>2</v>
      </c>
      <c r="C16">
        <v>1</v>
      </c>
      <c r="D16">
        <v>198</v>
      </c>
    </row>
    <row r="17" spans="1:4" x14ac:dyDescent="0.25">
      <c r="A17">
        <v>2</v>
      </c>
      <c r="B17">
        <v>1</v>
      </c>
      <c r="C17">
        <v>2</v>
      </c>
      <c r="D17">
        <v>285</v>
      </c>
    </row>
    <row r="18" spans="1:4" x14ac:dyDescent="0.25">
      <c r="A18">
        <v>4</v>
      </c>
      <c r="B18">
        <v>1</v>
      </c>
      <c r="C18">
        <v>2</v>
      </c>
      <c r="D18">
        <v>435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8086-90E3-4CBF-BB45-12D625E54FC0}">
  <dimension ref="B9:P41"/>
  <sheetViews>
    <sheetView topLeftCell="A10" workbookViewId="0">
      <selection activeCell="I36" sqref="I36"/>
    </sheetView>
  </sheetViews>
  <sheetFormatPr defaultRowHeight="15" x14ac:dyDescent="0.25"/>
  <cols>
    <col min="2" max="2" width="18.140625" customWidth="1"/>
    <col min="3" max="3" width="18" customWidth="1"/>
    <col min="4" max="4" width="18.28515625" customWidth="1"/>
    <col min="5" max="5" width="19" customWidth="1"/>
    <col min="8" max="8" width="21" customWidth="1"/>
    <col min="9" max="9" width="11.28515625" customWidth="1"/>
    <col min="10" max="10" width="19.7109375" customWidth="1"/>
    <col min="11" max="11" width="15.140625" customWidth="1"/>
    <col min="12" max="12" width="11.85546875" customWidth="1"/>
    <col min="13" max="13" width="20.28515625" customWidth="1"/>
    <col min="14" max="14" width="15.28515625" customWidth="1"/>
    <col min="15" max="15" width="16.42578125" customWidth="1"/>
    <col min="16" max="16" width="14.42578125" customWidth="1"/>
  </cols>
  <sheetData>
    <row r="9" spans="2:9" x14ac:dyDescent="0.25">
      <c r="H9" t="s">
        <v>4</v>
      </c>
    </row>
    <row r="10" spans="2:9" ht="15.75" thickBot="1" x14ac:dyDescent="0.3"/>
    <row r="11" spans="2:9" x14ac:dyDescent="0.25">
      <c r="B11" t="s">
        <v>0</v>
      </c>
      <c r="C11" t="s">
        <v>1</v>
      </c>
      <c r="D11" t="s">
        <v>2</v>
      </c>
      <c r="E11" t="s">
        <v>46</v>
      </c>
      <c r="H11" s="4" t="s">
        <v>5</v>
      </c>
      <c r="I11" s="4"/>
    </row>
    <row r="12" spans="2:9" x14ac:dyDescent="0.25">
      <c r="B12">
        <v>4</v>
      </c>
      <c r="C12">
        <v>2</v>
      </c>
      <c r="D12">
        <v>3</v>
      </c>
      <c r="E12">
        <v>495</v>
      </c>
      <c r="H12" s="1" t="s">
        <v>6</v>
      </c>
      <c r="I12" s="1">
        <v>0.99935452935138236</v>
      </c>
    </row>
    <row r="13" spans="2:9" x14ac:dyDescent="0.25">
      <c r="B13">
        <v>3</v>
      </c>
      <c r="C13">
        <v>2</v>
      </c>
      <c r="D13">
        <v>3</v>
      </c>
      <c r="E13">
        <v>420</v>
      </c>
      <c r="H13" s="1" t="s">
        <v>7</v>
      </c>
      <c r="I13" s="1">
        <v>0.99870947533512289</v>
      </c>
    </row>
    <row r="14" spans="2:9" x14ac:dyDescent="0.25">
      <c r="B14">
        <v>4</v>
      </c>
      <c r="C14">
        <v>3</v>
      </c>
      <c r="D14">
        <v>2</v>
      </c>
      <c r="E14">
        <v>422</v>
      </c>
      <c r="H14" s="1" t="s">
        <v>8</v>
      </c>
      <c r="I14" s="1">
        <v>0.997741581836465</v>
      </c>
    </row>
    <row r="15" spans="2:9" x14ac:dyDescent="0.25">
      <c r="B15">
        <v>5</v>
      </c>
      <c r="C15">
        <v>3</v>
      </c>
      <c r="D15">
        <v>3</v>
      </c>
      <c r="E15">
        <v>557</v>
      </c>
      <c r="H15" s="1" t="s">
        <v>9</v>
      </c>
      <c r="I15" s="1">
        <v>5.8195427195604124</v>
      </c>
    </row>
    <row r="16" spans="2:9" ht="15.75" thickBot="1" x14ac:dyDescent="0.3">
      <c r="B16">
        <v>3</v>
      </c>
      <c r="C16">
        <v>2</v>
      </c>
      <c r="D16">
        <v>1</v>
      </c>
      <c r="E16">
        <v>270</v>
      </c>
      <c r="H16" s="2" t="s">
        <v>10</v>
      </c>
      <c r="I16" s="2">
        <v>8</v>
      </c>
    </row>
    <row r="17" spans="2:16" x14ac:dyDescent="0.25">
      <c r="B17">
        <v>2</v>
      </c>
      <c r="C17">
        <v>2</v>
      </c>
      <c r="D17">
        <v>1</v>
      </c>
      <c r="E17">
        <v>198</v>
      </c>
    </row>
    <row r="18" spans="2:16" ht="15.75" thickBot="1" x14ac:dyDescent="0.3">
      <c r="B18">
        <v>2</v>
      </c>
      <c r="C18">
        <v>1</v>
      </c>
      <c r="D18">
        <v>2</v>
      </c>
      <c r="E18">
        <v>285</v>
      </c>
      <c r="H18" t="s">
        <v>11</v>
      </c>
    </row>
    <row r="19" spans="2:16" x14ac:dyDescent="0.25">
      <c r="B19">
        <v>4</v>
      </c>
      <c r="C19">
        <v>1</v>
      </c>
      <c r="D19">
        <v>2</v>
      </c>
      <c r="E19">
        <v>435</v>
      </c>
      <c r="H19" s="3"/>
      <c r="I19" s="3" t="s">
        <v>16</v>
      </c>
      <c r="J19" s="3" t="s">
        <v>17</v>
      </c>
      <c r="K19" s="3" t="s">
        <v>18</v>
      </c>
      <c r="L19" s="3" t="s">
        <v>19</v>
      </c>
      <c r="M19" s="3" t="s">
        <v>20</v>
      </c>
    </row>
    <row r="20" spans="2:16" x14ac:dyDescent="0.25">
      <c r="H20" s="1" t="s">
        <v>12</v>
      </c>
      <c r="I20" s="1">
        <v>3</v>
      </c>
      <c r="J20" s="1">
        <v>104836.03169014085</v>
      </c>
      <c r="K20" s="1">
        <v>34945.343896713617</v>
      </c>
      <c r="L20" s="1">
        <v>1031.8381895528507</v>
      </c>
      <c r="M20" s="1">
        <v>3.1213824389217717E-6</v>
      </c>
    </row>
    <row r="21" spans="2:16" x14ac:dyDescent="0.25">
      <c r="H21" s="1" t="s">
        <v>13</v>
      </c>
      <c r="I21" s="1">
        <v>4</v>
      </c>
      <c r="J21" s="1">
        <v>135.4683098591544</v>
      </c>
      <c r="K21" s="1">
        <v>33.867077464788601</v>
      </c>
      <c r="L21" s="1"/>
      <c r="M21" s="1"/>
    </row>
    <row r="22" spans="2:16" ht="15.75" thickBot="1" x14ac:dyDescent="0.3">
      <c r="H22" s="2" t="s">
        <v>14</v>
      </c>
      <c r="I22" s="2">
        <v>7</v>
      </c>
      <c r="J22" s="2">
        <v>104971.5</v>
      </c>
      <c r="K22" s="2"/>
      <c r="L22" s="2"/>
      <c r="M22" s="2"/>
    </row>
    <row r="23" spans="2:16" ht="15.75" thickBot="1" x14ac:dyDescent="0.3"/>
    <row r="24" spans="2:16" x14ac:dyDescent="0.25">
      <c r="H24" s="3"/>
      <c r="I24" s="3" t="s">
        <v>21</v>
      </c>
      <c r="J24" s="3" t="s">
        <v>9</v>
      </c>
      <c r="K24" s="3" t="s">
        <v>22</v>
      </c>
      <c r="L24" s="3" t="s">
        <v>23</v>
      </c>
      <c r="M24" s="3" t="s">
        <v>24</v>
      </c>
      <c r="N24" s="3" t="s">
        <v>25</v>
      </c>
      <c r="O24" s="3" t="s">
        <v>26</v>
      </c>
      <c r="P24" s="3" t="s">
        <v>27</v>
      </c>
    </row>
    <row r="25" spans="2:16" x14ac:dyDescent="0.25">
      <c r="H25" s="1" t="s">
        <v>15</v>
      </c>
      <c r="I25" s="1">
        <v>-3.9401408450704594</v>
      </c>
      <c r="J25" s="1">
        <v>8.0023369382895666</v>
      </c>
      <c r="K25" s="1">
        <v>-0.49237377474293553</v>
      </c>
      <c r="L25" s="1">
        <v>0.64825623821176359</v>
      </c>
      <c r="M25" s="1">
        <v>-26.158190067528022</v>
      </c>
      <c r="N25" s="1">
        <v>18.277908377387103</v>
      </c>
      <c r="O25" s="1">
        <v>-26.158190067528022</v>
      </c>
      <c r="P25" s="1">
        <v>18.277908377387103</v>
      </c>
    </row>
    <row r="26" spans="2:16" x14ac:dyDescent="0.25">
      <c r="H26" s="1" t="s">
        <v>28</v>
      </c>
      <c r="I26" s="1">
        <v>75.204225352112687</v>
      </c>
      <c r="J26" s="1">
        <v>2.9706093961487379</v>
      </c>
      <c r="K26" s="1">
        <v>25.316093542830505</v>
      </c>
      <c r="L26" s="7">
        <v>1.445640886940995E-5</v>
      </c>
      <c r="M26" s="1">
        <v>66.956491434720945</v>
      </c>
      <c r="N26" s="1">
        <v>83.451959269504428</v>
      </c>
      <c r="O26" s="1">
        <v>66.956491434720945</v>
      </c>
      <c r="P26" s="1">
        <v>83.451959269504428</v>
      </c>
    </row>
    <row r="27" spans="2:16" x14ac:dyDescent="0.25">
      <c r="H27" s="1" t="s">
        <v>29</v>
      </c>
      <c r="I27" s="1">
        <v>-9.9119718309859266</v>
      </c>
      <c r="J27" s="1">
        <v>3.4704866444199656</v>
      </c>
      <c r="K27" s="1">
        <v>-2.8560754863940843</v>
      </c>
      <c r="L27" s="1">
        <v>4.6111838721826552E-2</v>
      </c>
      <c r="M27" s="1">
        <v>-19.547587487540056</v>
      </c>
      <c r="N27" s="1">
        <v>-0.27635617443179861</v>
      </c>
      <c r="O27" s="1">
        <v>-19.547587487540056</v>
      </c>
      <c r="P27" s="1">
        <v>-0.27635617443179861</v>
      </c>
    </row>
    <row r="28" spans="2:16" ht="15.75" thickBot="1" x14ac:dyDescent="0.3">
      <c r="H28" s="2" t="s">
        <v>30</v>
      </c>
      <c r="I28" s="2">
        <v>73.035211267605646</v>
      </c>
      <c r="J28" s="2">
        <v>3.2760531968667133</v>
      </c>
      <c r="K28" s="2">
        <v>22.293658521008776</v>
      </c>
      <c r="L28" s="2">
        <v>2.3967501206021103E-5</v>
      </c>
      <c r="M28" s="2">
        <v>63.93942940479748</v>
      </c>
      <c r="N28" s="2">
        <v>82.130993130413813</v>
      </c>
      <c r="O28" s="2">
        <v>63.93942940479748</v>
      </c>
      <c r="P28" s="2">
        <v>82.130993130413813</v>
      </c>
    </row>
    <row r="31" spans="2:16" x14ac:dyDescent="0.25">
      <c r="H31">
        <f>((I26-M26)/J26)</f>
        <v>2.7764451051977952</v>
      </c>
    </row>
    <row r="32" spans="2:16" x14ac:dyDescent="0.25">
      <c r="H32">
        <f>((I27-M27)/J27)</f>
        <v>2.7764451051977939</v>
      </c>
    </row>
    <row r="33" spans="8:16" x14ac:dyDescent="0.25">
      <c r="H33">
        <f>((I28-M28)/J28)</f>
        <v>2.7764451051977925</v>
      </c>
    </row>
    <row r="38" spans="8:16" x14ac:dyDescent="0.25">
      <c r="H38">
        <f>((((I25+(I26*4)+(I27*2)+(3*I28)))))</f>
        <v>496.1584507042254</v>
      </c>
      <c r="J38" s="8">
        <f>((H38+I15)*1000)</f>
        <v>501977.99342378578</v>
      </c>
      <c r="K38">
        <f>((H38-I15)*1000)</f>
        <v>490338.90798466501</v>
      </c>
      <c r="M38" s="8">
        <f>((((((I25+(I26*4)+(I27*2)+(I28*3))))+I15)*1000))</f>
        <v>501977.99342378578</v>
      </c>
      <c r="N38" s="8">
        <f>(((((I25+(I26*4)+(I27*2)+(I28*3))))-I15))*1000</f>
        <v>490338.90798466501</v>
      </c>
      <c r="P38" s="8">
        <f>(J38+K38)/2</f>
        <v>496158.4507042254</v>
      </c>
    </row>
    <row r="39" spans="8:16" x14ac:dyDescent="0.25">
      <c r="J39" s="8"/>
      <c r="M39" s="8"/>
      <c r="N39" s="8"/>
      <c r="P39" s="8"/>
    </row>
    <row r="40" spans="8:16" x14ac:dyDescent="0.25">
      <c r="M40" s="8"/>
      <c r="N40" s="8"/>
      <c r="P40" s="8"/>
    </row>
    <row r="41" spans="8:16" x14ac:dyDescent="0.25">
      <c r="H41">
        <f>((((I25+(I26*4)+I27+(I28*3)))))</f>
        <v>506.07042253521132</v>
      </c>
      <c r="J41" s="8">
        <f>((H41+I15)*1000)</f>
        <v>511889.9652547717</v>
      </c>
      <c r="K41" s="8">
        <f>((H41-I15)*1000)</f>
        <v>500250.87981565093</v>
      </c>
      <c r="M41" s="8">
        <f>((((((I25+(I26*4)+I27+(I28*3))))+I15)*1000))</f>
        <v>511889.9652547717</v>
      </c>
      <c r="N41" s="8">
        <f>((((((I25+(I26*4)+I27+(I28*3))))-I15)*1000))</f>
        <v>500250.87981565093</v>
      </c>
      <c r="P41" s="8">
        <f>(M41+N41)/2</f>
        <v>506070.42253521131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B794-B4A0-4446-BC4A-D2721C65588C}">
  <dimension ref="C8:F18"/>
  <sheetViews>
    <sheetView workbookViewId="0">
      <selection activeCell="L28" sqref="L28"/>
    </sheetView>
  </sheetViews>
  <sheetFormatPr defaultRowHeight="15" x14ac:dyDescent="0.25"/>
  <cols>
    <col min="3" max="3" width="17.85546875" customWidth="1"/>
    <col min="4" max="4" width="19.42578125" customWidth="1"/>
    <col min="5" max="5" width="18.28515625" customWidth="1"/>
    <col min="6" max="6" width="31" customWidth="1"/>
  </cols>
  <sheetData>
    <row r="8" spans="3:6" x14ac:dyDescent="0.25">
      <c r="C8" s="5" t="s">
        <v>34</v>
      </c>
      <c r="D8" s="5" t="s">
        <v>35</v>
      </c>
      <c r="E8" s="5" t="s">
        <v>36</v>
      </c>
      <c r="F8" s="5" t="s">
        <v>37</v>
      </c>
    </row>
    <row r="9" spans="3:6" x14ac:dyDescent="0.25">
      <c r="C9" s="5">
        <v>1</v>
      </c>
      <c r="D9" s="5">
        <v>6</v>
      </c>
      <c r="E9" s="5">
        <v>3</v>
      </c>
      <c r="F9" s="5">
        <v>9</v>
      </c>
    </row>
    <row r="10" spans="3:6" x14ac:dyDescent="0.25">
      <c r="C10" s="5">
        <v>2</v>
      </c>
      <c r="D10" s="5">
        <v>5</v>
      </c>
      <c r="E10" s="5">
        <v>2</v>
      </c>
      <c r="F10" s="5">
        <v>6</v>
      </c>
    </row>
    <row r="11" spans="3:6" x14ac:dyDescent="0.25">
      <c r="C11" s="5">
        <v>3</v>
      </c>
      <c r="D11" s="5">
        <v>3</v>
      </c>
      <c r="E11" s="5">
        <v>2</v>
      </c>
      <c r="F11" s="5">
        <v>4</v>
      </c>
    </row>
    <row r="12" spans="3:6" x14ac:dyDescent="0.25">
      <c r="C12" s="5">
        <v>4</v>
      </c>
      <c r="D12" s="5">
        <v>1</v>
      </c>
      <c r="E12" s="5">
        <v>1</v>
      </c>
      <c r="F12" s="5">
        <v>3</v>
      </c>
    </row>
    <row r="13" spans="3:6" x14ac:dyDescent="0.25">
      <c r="C13" s="5">
        <v>5</v>
      </c>
      <c r="D13" s="5">
        <v>4</v>
      </c>
      <c r="E13" s="5">
        <v>1</v>
      </c>
      <c r="F13" s="5">
        <v>3</v>
      </c>
    </row>
    <row r="14" spans="3:6" x14ac:dyDescent="0.25">
      <c r="C14" s="5">
        <v>6</v>
      </c>
      <c r="D14" s="5">
        <v>3</v>
      </c>
      <c r="E14" s="5">
        <v>3</v>
      </c>
      <c r="F14" s="5">
        <v>5</v>
      </c>
    </row>
    <row r="15" spans="3:6" x14ac:dyDescent="0.25">
      <c r="C15" s="5">
        <v>7</v>
      </c>
      <c r="D15" s="5">
        <v>6</v>
      </c>
      <c r="E15" s="5">
        <v>3</v>
      </c>
      <c r="F15" s="5">
        <v>8</v>
      </c>
    </row>
    <row r="16" spans="3:6" x14ac:dyDescent="0.25">
      <c r="C16" s="5">
        <v>8</v>
      </c>
      <c r="D16" s="5">
        <v>2</v>
      </c>
      <c r="E16" s="5">
        <v>1</v>
      </c>
      <c r="F16" s="5">
        <v>2</v>
      </c>
    </row>
    <row r="17" spans="3:6" x14ac:dyDescent="0.25">
      <c r="C17" s="5">
        <v>9</v>
      </c>
      <c r="D17" s="5">
        <v>4</v>
      </c>
      <c r="E17" s="5">
        <v>2</v>
      </c>
      <c r="F17" s="5">
        <v>7</v>
      </c>
    </row>
    <row r="18" spans="3:6" x14ac:dyDescent="0.25">
      <c r="C18" s="5">
        <v>10</v>
      </c>
      <c r="D18" s="5">
        <v>2</v>
      </c>
      <c r="E18" s="5">
        <v>2</v>
      </c>
      <c r="F18" s="5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6C11-0FAC-4AA7-9614-BCC78376CCF0}">
  <dimension ref="B9:J59"/>
  <sheetViews>
    <sheetView tabSelected="1" topLeftCell="A28" workbookViewId="0">
      <selection activeCell="P46" sqref="P46"/>
    </sheetView>
  </sheetViews>
  <sheetFormatPr defaultRowHeight="15" x14ac:dyDescent="0.25"/>
  <cols>
    <col min="2" max="2" width="18.7109375" customWidth="1"/>
    <col min="3" max="3" width="19.42578125" customWidth="1"/>
    <col min="4" max="4" width="18.28515625" customWidth="1"/>
    <col min="5" max="5" width="34.28515625" customWidth="1"/>
    <col min="6" max="6" width="12" customWidth="1"/>
    <col min="7" max="7" width="18.85546875" customWidth="1"/>
  </cols>
  <sheetData>
    <row r="9" spans="2:5" x14ac:dyDescent="0.25">
      <c r="B9" s="5" t="s">
        <v>34</v>
      </c>
      <c r="C9" s="5" t="s">
        <v>35</v>
      </c>
      <c r="D9" s="5" t="s">
        <v>36</v>
      </c>
      <c r="E9" s="5" t="s">
        <v>47</v>
      </c>
    </row>
    <row r="10" spans="2:5" x14ac:dyDescent="0.25">
      <c r="B10" s="5">
        <v>1</v>
      </c>
      <c r="C10" s="5">
        <v>6</v>
      </c>
      <c r="D10" s="5">
        <v>3</v>
      </c>
      <c r="E10" s="5">
        <v>9</v>
      </c>
    </row>
    <row r="11" spans="2:5" x14ac:dyDescent="0.25">
      <c r="B11" s="5">
        <v>2</v>
      </c>
      <c r="C11" s="5">
        <v>5</v>
      </c>
      <c r="D11" s="5">
        <v>2</v>
      </c>
      <c r="E11" s="5">
        <v>6</v>
      </c>
    </row>
    <row r="12" spans="2:5" x14ac:dyDescent="0.25">
      <c r="B12" s="5">
        <v>3</v>
      </c>
      <c r="C12" s="5">
        <v>3</v>
      </c>
      <c r="D12" s="5">
        <v>2</v>
      </c>
      <c r="E12" s="5">
        <v>4</v>
      </c>
    </row>
    <row r="13" spans="2:5" x14ac:dyDescent="0.25">
      <c r="B13" s="5">
        <v>4</v>
      </c>
      <c r="C13" s="5">
        <v>1</v>
      </c>
      <c r="D13" s="5">
        <v>1</v>
      </c>
      <c r="E13" s="5">
        <v>3</v>
      </c>
    </row>
    <row r="14" spans="2:5" x14ac:dyDescent="0.25">
      <c r="B14" s="5">
        <v>5</v>
      </c>
      <c r="C14" s="5">
        <v>4</v>
      </c>
      <c r="D14" s="5">
        <v>1</v>
      </c>
      <c r="E14" s="5">
        <v>3</v>
      </c>
    </row>
    <row r="15" spans="2:5" x14ac:dyDescent="0.25">
      <c r="B15" s="5">
        <v>6</v>
      </c>
      <c r="C15" s="5">
        <v>3</v>
      </c>
      <c r="D15" s="5">
        <v>3</v>
      </c>
      <c r="E15" s="5">
        <v>5</v>
      </c>
    </row>
    <row r="16" spans="2:5" x14ac:dyDescent="0.25">
      <c r="B16" s="5">
        <v>7</v>
      </c>
      <c r="C16" s="5">
        <v>6</v>
      </c>
      <c r="D16" s="5">
        <v>3</v>
      </c>
      <c r="E16" s="5">
        <v>8</v>
      </c>
    </row>
    <row r="17" spans="2:5" x14ac:dyDescent="0.25">
      <c r="B17" s="5">
        <v>8</v>
      </c>
      <c r="C17" s="5">
        <v>2</v>
      </c>
      <c r="D17" s="5">
        <v>1</v>
      </c>
      <c r="E17" s="5">
        <v>2</v>
      </c>
    </row>
    <row r="18" spans="2:5" x14ac:dyDescent="0.25">
      <c r="B18" s="5">
        <v>9</v>
      </c>
      <c r="C18" s="5">
        <v>4</v>
      </c>
      <c r="D18" s="5">
        <v>2</v>
      </c>
      <c r="E18" s="5">
        <v>7</v>
      </c>
    </row>
    <row r="19" spans="2:5" x14ac:dyDescent="0.25">
      <c r="B19" s="5">
        <v>10</v>
      </c>
      <c r="C19" s="5">
        <v>2</v>
      </c>
      <c r="D19" s="5">
        <v>2</v>
      </c>
      <c r="E19" s="5">
        <v>4</v>
      </c>
    </row>
    <row r="25" spans="2:5" x14ac:dyDescent="0.25">
      <c r="B25" t="s">
        <v>4</v>
      </c>
    </row>
    <row r="26" spans="2:5" ht="15.75" thickBot="1" x14ac:dyDescent="0.3"/>
    <row r="27" spans="2:5" x14ac:dyDescent="0.25">
      <c r="B27" s="4" t="s">
        <v>5</v>
      </c>
      <c r="C27" s="4"/>
    </row>
    <row r="28" spans="2:5" x14ac:dyDescent="0.25">
      <c r="B28" s="1" t="s">
        <v>6</v>
      </c>
      <c r="C28" s="1">
        <v>0.9203110209638995</v>
      </c>
    </row>
    <row r="29" spans="2:5" x14ac:dyDescent="0.25">
      <c r="B29" s="1" t="s">
        <v>7</v>
      </c>
      <c r="C29" s="1">
        <v>0.84697237530761504</v>
      </c>
    </row>
    <row r="30" spans="2:5" x14ac:dyDescent="0.25">
      <c r="B30" s="1" t="s">
        <v>8</v>
      </c>
      <c r="C30" s="1">
        <v>0.8032501968240765</v>
      </c>
    </row>
    <row r="31" spans="2:5" x14ac:dyDescent="0.25">
      <c r="B31" s="1" t="s">
        <v>9</v>
      </c>
      <c r="C31" s="1">
        <v>1.03392807483041</v>
      </c>
    </row>
    <row r="32" spans="2:5" ht="15.75" thickBot="1" x14ac:dyDescent="0.3">
      <c r="B32" s="2" t="s">
        <v>10</v>
      </c>
      <c r="C32" s="2">
        <v>10</v>
      </c>
    </row>
    <row r="34" spans="2:10" ht="15.75" thickBot="1" x14ac:dyDescent="0.3">
      <c r="B34" t="s">
        <v>11</v>
      </c>
    </row>
    <row r="35" spans="2:10" x14ac:dyDescent="0.25">
      <c r="B35" s="3"/>
      <c r="C35" s="3" t="s">
        <v>16</v>
      </c>
      <c r="D35" s="3" t="s">
        <v>17</v>
      </c>
      <c r="E35" s="3" t="s">
        <v>18</v>
      </c>
      <c r="F35" s="3" t="s">
        <v>19</v>
      </c>
      <c r="G35" s="3" t="s">
        <v>20</v>
      </c>
    </row>
    <row r="36" spans="2:10" x14ac:dyDescent="0.25">
      <c r="B36" s="1" t="s">
        <v>12</v>
      </c>
      <c r="C36" s="1">
        <v>2</v>
      </c>
      <c r="D36" s="1">
        <v>41.416949152542372</v>
      </c>
      <c r="E36" s="1">
        <v>20.708474576271186</v>
      </c>
      <c r="F36" s="1">
        <v>19.371687429218575</v>
      </c>
      <c r="G36" s="1">
        <v>1.4018270307483379E-3</v>
      </c>
    </row>
    <row r="37" spans="2:10" x14ac:dyDescent="0.25">
      <c r="B37" s="1" t="s">
        <v>13</v>
      </c>
      <c r="C37" s="1">
        <v>7</v>
      </c>
      <c r="D37" s="1">
        <v>7.4830508474576263</v>
      </c>
      <c r="E37" s="1">
        <v>1.0690072639225181</v>
      </c>
      <c r="F37" s="1"/>
      <c r="G37" s="1"/>
    </row>
    <row r="38" spans="2:10" ht="15.75" thickBot="1" x14ac:dyDescent="0.3">
      <c r="B38" s="2" t="s">
        <v>14</v>
      </c>
      <c r="C38" s="2">
        <v>9</v>
      </c>
      <c r="D38" s="2">
        <v>48.9</v>
      </c>
      <c r="E38" s="2"/>
      <c r="F38" s="2"/>
      <c r="G38" s="2"/>
    </row>
    <row r="39" spans="2:10" ht="15.75" thickBot="1" x14ac:dyDescent="0.3"/>
    <row r="40" spans="2:10" x14ac:dyDescent="0.25">
      <c r="B40" s="3"/>
      <c r="C40" s="3" t="s">
        <v>21</v>
      </c>
      <c r="D40" s="3" t="s">
        <v>9</v>
      </c>
      <c r="E40" s="3" t="s">
        <v>22</v>
      </c>
      <c r="F40" s="3" t="s">
        <v>23</v>
      </c>
      <c r="G40" s="3" t="s">
        <v>24</v>
      </c>
      <c r="H40" s="3" t="s">
        <v>25</v>
      </c>
      <c r="I40" s="3" t="s">
        <v>26</v>
      </c>
      <c r="J40" s="3" t="s">
        <v>27</v>
      </c>
    </row>
    <row r="41" spans="2:10" x14ac:dyDescent="0.25">
      <c r="B41" s="1" t="s">
        <v>15</v>
      </c>
      <c r="C41" s="1">
        <v>-0.26271186440677941</v>
      </c>
      <c r="D41" s="1">
        <v>0.93742210795280456</v>
      </c>
      <c r="E41" s="1">
        <v>-0.28024927316948439</v>
      </c>
      <c r="F41" s="1">
        <v>0.78738754101922281</v>
      </c>
      <c r="G41" s="1">
        <v>-2.4793629148512109</v>
      </c>
      <c r="H41" s="1">
        <v>1.953939186037652</v>
      </c>
      <c r="I41" s="1">
        <v>-2.4793629148512109</v>
      </c>
      <c r="J41" s="1">
        <v>1.953939186037652</v>
      </c>
    </row>
    <row r="42" spans="2:10" x14ac:dyDescent="0.25">
      <c r="B42" s="1" t="s">
        <v>28</v>
      </c>
      <c r="C42" s="1">
        <v>0.74576271186440668</v>
      </c>
      <c r="D42" s="1">
        <v>0.26066334023837689</v>
      </c>
      <c r="E42" s="1">
        <v>2.8610187807092702</v>
      </c>
      <c r="F42" s="1">
        <v>2.430215243840337E-2</v>
      </c>
      <c r="G42" s="1">
        <v>0.12939185603555925</v>
      </c>
      <c r="H42" s="1">
        <v>1.3621335676932542</v>
      </c>
      <c r="I42" s="1">
        <v>0.12939185603555925</v>
      </c>
      <c r="J42" s="1">
        <v>1.3621335676932542</v>
      </c>
    </row>
    <row r="43" spans="2:10" ht="15.75" thickBot="1" x14ac:dyDescent="0.3">
      <c r="B43" s="2" t="s">
        <v>29</v>
      </c>
      <c r="C43" s="2">
        <v>1.3389830508474574</v>
      </c>
      <c r="D43" s="2">
        <v>0.54677203527119278</v>
      </c>
      <c r="E43" s="2">
        <v>2.4488872225942151</v>
      </c>
      <c r="F43" s="2">
        <v>4.4179298097090772E-2</v>
      </c>
      <c r="G43" s="2">
        <v>4.6072636152449276E-2</v>
      </c>
      <c r="H43" s="2">
        <v>2.6318934655424657</v>
      </c>
      <c r="I43" s="2">
        <v>4.6072636152449276E-2</v>
      </c>
      <c r="J43" s="2">
        <v>2.6318934655424657</v>
      </c>
    </row>
    <row r="46" spans="2:10" x14ac:dyDescent="0.25">
      <c r="C46">
        <f>((C42-G42)/D42)</f>
        <v>2.3646242515927849</v>
      </c>
    </row>
    <row r="47" spans="2:10" x14ac:dyDescent="0.25">
      <c r="C47">
        <f>((C43-G43)/D43)</f>
        <v>2.3646242515927849</v>
      </c>
    </row>
    <row r="49" spans="2:5" x14ac:dyDescent="0.25">
      <c r="B49" s="1"/>
      <c r="C49" s="1"/>
    </row>
    <row r="50" spans="2:5" x14ac:dyDescent="0.25">
      <c r="B50" s="1"/>
      <c r="C50" s="1"/>
    </row>
    <row r="51" spans="2:5" x14ac:dyDescent="0.25">
      <c r="B51" s="1"/>
      <c r="C51" s="1"/>
    </row>
    <row r="52" spans="2:5" x14ac:dyDescent="0.25">
      <c r="B52" s="1"/>
      <c r="C52" s="1"/>
    </row>
    <row r="53" spans="2:5" ht="28.5" x14ac:dyDescent="0.45">
      <c r="B53" s="1"/>
      <c r="C53" s="1"/>
      <c r="E53" s="10">
        <f>((((C41+(C42*10)+(C43*3)))))*1000</f>
        <v>11211.864406779659</v>
      </c>
    </row>
    <row r="54" spans="2:5" ht="28.5" x14ac:dyDescent="0.45">
      <c r="B54" s="1"/>
      <c r="C54" s="1"/>
      <c r="E54" s="10">
        <f>(((((C41+(C42*10)+(C43*3)))+C31)))*1000</f>
        <v>12245.792481610069</v>
      </c>
    </row>
    <row r="55" spans="2:5" ht="28.5" x14ac:dyDescent="0.45">
      <c r="B55" s="1"/>
      <c r="C55" s="1"/>
      <c r="E55" s="10">
        <f>(((((C41+(C42*10)+(C43*3)))-C31)))*1000</f>
        <v>10177.93633194925</v>
      </c>
    </row>
    <row r="56" spans="2:5" ht="28.5" x14ac:dyDescent="0.45">
      <c r="B56" s="1"/>
      <c r="C56" s="1"/>
      <c r="E56" s="11"/>
    </row>
    <row r="57" spans="2:5" ht="28.5" x14ac:dyDescent="0.45">
      <c r="B57" s="1"/>
      <c r="C57" s="1"/>
      <c r="E57" s="10">
        <f>(E54+E55)/2</f>
        <v>11211.864406779659</v>
      </c>
    </row>
    <row r="58" spans="2:5" x14ac:dyDescent="0.25">
      <c r="B58" s="1"/>
      <c r="C58" s="1"/>
    </row>
    <row r="59" spans="2:5" x14ac:dyDescent="0.25">
      <c r="B59" s="1"/>
      <c r="C59" s="1"/>
    </row>
  </sheetData>
  <sortState xmlns:xlrd2="http://schemas.microsoft.com/office/spreadsheetml/2017/richdata2" ref="C49:C59">
    <sortCondition ref="C49"/>
  </sortState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3003-FC12-4A31-8893-08FEB8704A22}">
  <dimension ref="B6:D23"/>
  <sheetViews>
    <sheetView workbookViewId="0">
      <selection activeCell="P18" sqref="P18"/>
    </sheetView>
  </sheetViews>
  <sheetFormatPr defaultRowHeight="15" x14ac:dyDescent="0.25"/>
  <cols>
    <col min="2" max="2" width="16.42578125" customWidth="1"/>
    <col min="3" max="3" width="21" customWidth="1"/>
    <col min="4" max="4" width="18.42578125" customWidth="1"/>
  </cols>
  <sheetData>
    <row r="6" spans="2:4" x14ac:dyDescent="0.25">
      <c r="B6" t="s">
        <v>3</v>
      </c>
      <c r="C6" t="s">
        <v>41</v>
      </c>
      <c r="D6" t="s">
        <v>42</v>
      </c>
    </row>
    <row r="8" spans="2:4" x14ac:dyDescent="0.25">
      <c r="B8" s="5" t="s">
        <v>38</v>
      </c>
      <c r="C8" s="5" t="s">
        <v>39</v>
      </c>
      <c r="D8" s="5" t="s">
        <v>40</v>
      </c>
    </row>
    <row r="9" spans="2:4" x14ac:dyDescent="0.25">
      <c r="B9" s="5">
        <v>10</v>
      </c>
      <c r="C9" s="5">
        <v>30</v>
      </c>
      <c r="D9" s="6">
        <v>24</v>
      </c>
    </row>
    <row r="10" spans="2:4" x14ac:dyDescent="0.25">
      <c r="B10" s="5">
        <v>15</v>
      </c>
      <c r="C10" s="5">
        <v>25</v>
      </c>
      <c r="D10" s="6">
        <v>27</v>
      </c>
    </row>
    <row r="11" spans="2:4" x14ac:dyDescent="0.25">
      <c r="B11" s="5">
        <v>10</v>
      </c>
      <c r="C11" s="5">
        <v>40</v>
      </c>
      <c r="D11" s="6">
        <v>29</v>
      </c>
    </row>
    <row r="12" spans="2:4" x14ac:dyDescent="0.25">
      <c r="B12" s="5">
        <v>20</v>
      </c>
      <c r="C12" s="5">
        <v>18</v>
      </c>
      <c r="D12" s="6">
        <v>31</v>
      </c>
    </row>
    <row r="13" spans="2:4" x14ac:dyDescent="0.25">
      <c r="B13" s="5">
        <v>25</v>
      </c>
      <c r="C13" s="5">
        <v>22</v>
      </c>
      <c r="D13" s="6">
        <v>25</v>
      </c>
    </row>
    <row r="14" spans="2:4" x14ac:dyDescent="0.25">
      <c r="B14" s="5">
        <v>18</v>
      </c>
      <c r="C14" s="5">
        <v>31</v>
      </c>
      <c r="D14" s="6">
        <v>33</v>
      </c>
    </row>
    <row r="15" spans="2:4" x14ac:dyDescent="0.25">
      <c r="B15" s="5">
        <v>12</v>
      </c>
      <c r="C15" s="5">
        <v>26</v>
      </c>
      <c r="D15" s="6">
        <v>26</v>
      </c>
    </row>
    <row r="16" spans="2:4" x14ac:dyDescent="0.25">
      <c r="B16" s="5">
        <v>14</v>
      </c>
      <c r="C16" s="5">
        <v>34</v>
      </c>
      <c r="D16" s="6">
        <v>28</v>
      </c>
    </row>
    <row r="17" spans="2:4" x14ac:dyDescent="0.25">
      <c r="B17" s="5">
        <v>16</v>
      </c>
      <c r="C17" s="5">
        <v>29</v>
      </c>
      <c r="D17" s="6">
        <v>31</v>
      </c>
    </row>
    <row r="18" spans="2:4" x14ac:dyDescent="0.25">
      <c r="B18" s="5">
        <v>22</v>
      </c>
      <c r="C18" s="5">
        <v>37</v>
      </c>
      <c r="D18" s="6">
        <v>39</v>
      </c>
    </row>
    <row r="19" spans="2:4" x14ac:dyDescent="0.25">
      <c r="B19" s="5">
        <v>24</v>
      </c>
      <c r="C19" s="5">
        <v>20</v>
      </c>
      <c r="D19" s="6">
        <v>33</v>
      </c>
    </row>
    <row r="20" spans="2:4" x14ac:dyDescent="0.25">
      <c r="B20" s="5">
        <v>17</v>
      </c>
      <c r="C20" s="5">
        <v>25</v>
      </c>
      <c r="D20" s="6">
        <v>30</v>
      </c>
    </row>
    <row r="21" spans="2:4" x14ac:dyDescent="0.25">
      <c r="B21" s="5">
        <v>13</v>
      </c>
      <c r="C21" s="5">
        <v>27</v>
      </c>
      <c r="D21" s="6">
        <v>25</v>
      </c>
    </row>
    <row r="22" spans="2:4" x14ac:dyDescent="0.25">
      <c r="B22" s="5">
        <v>30</v>
      </c>
      <c r="C22" s="5">
        <v>23</v>
      </c>
      <c r="D22" s="6">
        <v>42</v>
      </c>
    </row>
    <row r="23" spans="2:4" x14ac:dyDescent="0.25">
      <c r="B23" s="5">
        <v>24</v>
      </c>
      <c r="C23" s="5">
        <v>33</v>
      </c>
      <c r="D23" s="6">
        <v>40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B0BD0-2EF9-43ED-A56F-C61B33592BE4}">
  <dimension ref="A6:W275"/>
  <sheetViews>
    <sheetView topLeftCell="A46" workbookViewId="0">
      <selection activeCell="I62" sqref="I62"/>
    </sheetView>
  </sheetViews>
  <sheetFormatPr defaultRowHeight="15" x14ac:dyDescent="0.25"/>
  <cols>
    <col min="1" max="1" width="15.7109375" customWidth="1"/>
    <col min="2" max="2" width="31.28515625" customWidth="1"/>
    <col min="3" max="3" width="24" customWidth="1"/>
    <col min="4" max="4" width="26.5703125" customWidth="1"/>
    <col min="5" max="5" width="16.5703125" customWidth="1"/>
    <col min="6" max="6" width="14.28515625" customWidth="1"/>
    <col min="7" max="7" width="15.5703125" customWidth="1"/>
  </cols>
  <sheetData>
    <row r="6" spans="2:13" ht="15.75" thickBot="1" x14ac:dyDescent="0.3"/>
    <row r="7" spans="2:13" x14ac:dyDescent="0.25">
      <c r="H7" s="4"/>
      <c r="I7" s="4"/>
    </row>
    <row r="8" spans="2:13" x14ac:dyDescent="0.25">
      <c r="B8" t="s">
        <v>3</v>
      </c>
      <c r="C8" t="s">
        <v>41</v>
      </c>
      <c r="D8" t="s">
        <v>42</v>
      </c>
      <c r="H8" s="1"/>
      <c r="I8" s="1"/>
    </row>
    <row r="9" spans="2:13" x14ac:dyDescent="0.25">
      <c r="H9" s="1"/>
      <c r="I9" s="1"/>
    </row>
    <row r="10" spans="2:13" x14ac:dyDescent="0.25">
      <c r="B10" s="5" t="s">
        <v>44</v>
      </c>
      <c r="C10" s="5" t="s">
        <v>45</v>
      </c>
      <c r="D10" s="5" t="s">
        <v>43</v>
      </c>
      <c r="H10" s="1"/>
      <c r="I10" s="1"/>
    </row>
    <row r="11" spans="2:13" x14ac:dyDescent="0.25">
      <c r="B11" s="5">
        <v>10</v>
      </c>
      <c r="C11" s="5">
        <v>30</v>
      </c>
      <c r="D11" s="5">
        <v>24</v>
      </c>
      <c r="H11" s="1"/>
      <c r="I11" s="1"/>
    </row>
    <row r="12" spans="2:13" ht="15.75" thickBot="1" x14ac:dyDescent="0.3">
      <c r="B12" s="5">
        <v>15</v>
      </c>
      <c r="C12" s="5">
        <v>25</v>
      </c>
      <c r="D12" s="5">
        <v>27</v>
      </c>
      <c r="H12" s="2"/>
      <c r="I12" s="2"/>
    </row>
    <row r="13" spans="2:13" x14ac:dyDescent="0.25">
      <c r="B13" s="5">
        <v>10</v>
      </c>
      <c r="C13" s="5">
        <v>40</v>
      </c>
      <c r="D13" s="5">
        <v>29</v>
      </c>
    </row>
    <row r="14" spans="2:13" ht="15.75" thickBot="1" x14ac:dyDescent="0.3">
      <c r="B14" s="5">
        <v>20</v>
      </c>
      <c r="C14" s="5">
        <v>18</v>
      </c>
      <c r="D14" s="5">
        <v>31</v>
      </c>
    </row>
    <row r="15" spans="2:13" x14ac:dyDescent="0.25">
      <c r="B15" s="5">
        <v>25</v>
      </c>
      <c r="C15" s="5">
        <v>22</v>
      </c>
      <c r="D15" s="5">
        <v>25</v>
      </c>
      <c r="H15" s="3"/>
      <c r="I15" s="3"/>
      <c r="J15" s="3"/>
      <c r="K15" s="3"/>
      <c r="L15" s="3"/>
      <c r="M15" s="3"/>
    </row>
    <row r="16" spans="2:13" x14ac:dyDescent="0.25">
      <c r="B16" s="5">
        <v>18</v>
      </c>
      <c r="C16" s="5">
        <v>31</v>
      </c>
      <c r="D16" s="5">
        <v>33</v>
      </c>
      <c r="H16" s="1"/>
      <c r="I16" s="1"/>
      <c r="J16" s="1"/>
      <c r="K16" s="1"/>
      <c r="L16" s="1"/>
      <c r="M16" s="1"/>
    </row>
    <row r="17" spans="1:13" x14ac:dyDescent="0.25">
      <c r="B17" s="5">
        <v>12</v>
      </c>
      <c r="C17" s="5">
        <v>26</v>
      </c>
      <c r="D17" s="5">
        <v>26</v>
      </c>
      <c r="H17" s="1"/>
      <c r="I17" s="1"/>
      <c r="J17" s="1"/>
      <c r="K17" s="1"/>
      <c r="L17" s="1"/>
      <c r="M17" s="1"/>
    </row>
    <row r="18" spans="1:13" ht="15.75" thickBot="1" x14ac:dyDescent="0.3">
      <c r="B18" s="5">
        <v>14</v>
      </c>
      <c r="C18" s="5">
        <v>34</v>
      </c>
      <c r="D18" s="5">
        <v>28</v>
      </c>
      <c r="H18" s="2"/>
      <c r="I18" s="2"/>
      <c r="J18" s="2"/>
      <c r="K18" s="2"/>
      <c r="L18" s="2"/>
      <c r="M18" s="2"/>
    </row>
    <row r="19" spans="1:13" x14ac:dyDescent="0.25">
      <c r="B19" s="5">
        <v>16</v>
      </c>
      <c r="C19" s="5">
        <v>29</v>
      </c>
      <c r="D19" s="5">
        <v>31</v>
      </c>
    </row>
    <row r="20" spans="1:13" x14ac:dyDescent="0.25">
      <c r="B20" s="5">
        <v>22</v>
      </c>
      <c r="C20" s="5">
        <v>37</v>
      </c>
      <c r="D20" s="5">
        <v>39</v>
      </c>
    </row>
    <row r="21" spans="1:13" x14ac:dyDescent="0.25">
      <c r="B21" s="5">
        <v>24</v>
      </c>
      <c r="C21" s="5">
        <v>20</v>
      </c>
      <c r="D21" s="5">
        <v>33</v>
      </c>
    </row>
    <row r="22" spans="1:13" x14ac:dyDescent="0.25">
      <c r="B22" s="5">
        <v>17</v>
      </c>
      <c r="C22" s="5">
        <v>25</v>
      </c>
      <c r="D22" s="5">
        <v>30</v>
      </c>
    </row>
    <row r="23" spans="1:13" x14ac:dyDescent="0.25">
      <c r="B23" s="5">
        <v>13</v>
      </c>
      <c r="C23" s="5">
        <v>27</v>
      </c>
      <c r="D23" s="5">
        <v>25</v>
      </c>
    </row>
    <row r="24" spans="1:13" x14ac:dyDescent="0.25">
      <c r="B24" s="5">
        <v>30</v>
      </c>
      <c r="C24" s="5">
        <v>23</v>
      </c>
      <c r="D24" s="5">
        <v>42</v>
      </c>
    </row>
    <row r="25" spans="1:13" x14ac:dyDescent="0.25">
      <c r="B25" s="5">
        <v>24</v>
      </c>
      <c r="C25" s="5">
        <v>33</v>
      </c>
      <c r="D25" s="5">
        <v>40</v>
      </c>
    </row>
    <row r="31" spans="1:13" x14ac:dyDescent="0.25">
      <c r="A31" t="s">
        <v>4</v>
      </c>
    </row>
    <row r="32" spans="1:13" ht="15.75" thickBot="1" x14ac:dyDescent="0.3"/>
    <row r="33" spans="1:9" x14ac:dyDescent="0.25">
      <c r="A33" s="4" t="s">
        <v>5</v>
      </c>
      <c r="B33" s="4"/>
    </row>
    <row r="34" spans="1:9" x14ac:dyDescent="0.25">
      <c r="A34" s="1" t="s">
        <v>6</v>
      </c>
      <c r="B34" s="1">
        <v>0.85836417618205796</v>
      </c>
    </row>
    <row r="35" spans="1:9" x14ac:dyDescent="0.25">
      <c r="A35" s="1" t="s">
        <v>7</v>
      </c>
      <c r="B35" s="1">
        <v>0.73678905895270297</v>
      </c>
    </row>
    <row r="36" spans="1:9" x14ac:dyDescent="0.25">
      <c r="A36" s="1" t="s">
        <v>8</v>
      </c>
      <c r="B36" s="1">
        <v>0.69292056877815345</v>
      </c>
    </row>
    <row r="37" spans="1:9" x14ac:dyDescent="0.25">
      <c r="A37" s="1" t="s">
        <v>9</v>
      </c>
      <c r="B37" s="1">
        <v>3.1407898938404593</v>
      </c>
    </row>
    <row r="38" spans="1:9" ht="15.75" thickBot="1" x14ac:dyDescent="0.3">
      <c r="A38" s="2" t="s">
        <v>10</v>
      </c>
      <c r="B38" s="2">
        <v>15</v>
      </c>
    </row>
    <row r="40" spans="1:9" ht="15.75" thickBot="1" x14ac:dyDescent="0.3">
      <c r="A40" t="s">
        <v>11</v>
      </c>
    </row>
    <row r="41" spans="1:9" x14ac:dyDescent="0.25">
      <c r="A41" s="3"/>
      <c r="B41" s="3" t="s">
        <v>16</v>
      </c>
      <c r="C41" s="3" t="s">
        <v>17</v>
      </c>
      <c r="D41" s="3" t="s">
        <v>18</v>
      </c>
      <c r="E41" s="3" t="s">
        <v>19</v>
      </c>
      <c r="F41" s="3" t="s">
        <v>20</v>
      </c>
    </row>
    <row r="42" spans="1:9" x14ac:dyDescent="0.25">
      <c r="A42" s="1" t="s">
        <v>12</v>
      </c>
      <c r="B42" s="1">
        <v>2</v>
      </c>
      <c r="C42" s="1">
        <v>331.35859944632898</v>
      </c>
      <c r="D42" s="1">
        <v>165.67929972316449</v>
      </c>
      <c r="E42" s="1">
        <v>16.795404993905048</v>
      </c>
      <c r="F42" s="1">
        <v>3.3252448336528584E-4</v>
      </c>
    </row>
    <row r="43" spans="1:9" x14ac:dyDescent="0.25">
      <c r="A43" s="1" t="s">
        <v>13</v>
      </c>
      <c r="B43" s="1">
        <v>12</v>
      </c>
      <c r="C43" s="1">
        <v>118.37473388700435</v>
      </c>
      <c r="D43" s="1">
        <v>9.8645611572503622</v>
      </c>
      <c r="E43" s="1"/>
      <c r="F43" s="1"/>
    </row>
    <row r="44" spans="1:9" ht="15.75" thickBot="1" x14ac:dyDescent="0.3">
      <c r="A44" s="2" t="s">
        <v>14</v>
      </c>
      <c r="B44" s="2">
        <v>14</v>
      </c>
      <c r="C44" s="2">
        <v>449.73333333333335</v>
      </c>
      <c r="D44" s="2"/>
      <c r="E44" s="2"/>
      <c r="F44" s="2"/>
    </row>
    <row r="45" spans="1:9" ht="15.75" thickBot="1" x14ac:dyDescent="0.3"/>
    <row r="46" spans="1:9" x14ac:dyDescent="0.25">
      <c r="A46" s="3"/>
      <c r="B46" s="3" t="s">
        <v>21</v>
      </c>
      <c r="C46" s="3" t="s">
        <v>9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26</v>
      </c>
      <c r="I46" s="3" t="s">
        <v>27</v>
      </c>
    </row>
    <row r="47" spans="1:9" x14ac:dyDescent="0.25">
      <c r="A47" s="1" t="s">
        <v>15</v>
      </c>
      <c r="B47" s="1">
        <v>2.3112020899130474</v>
      </c>
      <c r="C47" s="1">
        <v>5.8573027249418281</v>
      </c>
      <c r="D47" s="1">
        <v>0.39458470877241558</v>
      </c>
      <c r="E47" s="1">
        <v>0.7000724891391652</v>
      </c>
      <c r="F47" s="1">
        <v>-10.450764234435026</v>
      </c>
      <c r="G47" s="1">
        <v>15.07316841426112</v>
      </c>
      <c r="H47" s="1">
        <v>-10.450764234435026</v>
      </c>
      <c r="I47" s="1">
        <v>15.07316841426112</v>
      </c>
    </row>
    <row r="48" spans="1:9" x14ac:dyDescent="0.25">
      <c r="A48" s="1" t="s">
        <v>28</v>
      </c>
      <c r="B48" s="1">
        <v>0.87720461132556127</v>
      </c>
      <c r="C48" s="1">
        <v>0.15303459673374642</v>
      </c>
      <c r="D48" s="1">
        <v>5.732067323650643</v>
      </c>
      <c r="E48" s="1">
        <v>9.425137660746066E-5</v>
      </c>
      <c r="F48" s="1">
        <v>0.54377086857912404</v>
      </c>
      <c r="G48" s="1">
        <v>1.2106383540719985</v>
      </c>
      <c r="H48" s="1">
        <v>0.54377086857912404</v>
      </c>
      <c r="I48" s="1">
        <v>1.2106383540719985</v>
      </c>
    </row>
    <row r="49" spans="1:9" ht="15.75" thickBot="1" x14ac:dyDescent="0.3">
      <c r="A49" s="2" t="s">
        <v>29</v>
      </c>
      <c r="B49" s="2">
        <v>0.45592077046048274</v>
      </c>
      <c r="C49" s="2">
        <v>0.14676233487448434</v>
      </c>
      <c r="D49" s="2">
        <v>3.1065243739165105</v>
      </c>
      <c r="E49" s="2">
        <v>9.0792769042203538E-3</v>
      </c>
      <c r="F49" s="2">
        <v>0.13615311232403815</v>
      </c>
      <c r="G49" s="2">
        <v>0.77568842859692733</v>
      </c>
      <c r="H49" s="2">
        <v>0.13615311232403815</v>
      </c>
      <c r="I49" s="2">
        <v>0.77568842859692733</v>
      </c>
    </row>
    <row r="52" spans="1:9" x14ac:dyDescent="0.25">
      <c r="B52">
        <f>((B48-F48)/C48)</f>
        <v>2.1788128296672284</v>
      </c>
    </row>
    <row r="53" spans="1:9" x14ac:dyDescent="0.25">
      <c r="B53">
        <f>((B49-F49)/C49)</f>
        <v>2.1788128296672284</v>
      </c>
    </row>
    <row r="55" spans="1:9" x14ac:dyDescent="0.25">
      <c r="A55" s="1"/>
      <c r="B55" s="1"/>
    </row>
    <row r="56" spans="1:9" x14ac:dyDescent="0.25">
      <c r="A56" s="1"/>
      <c r="B56" s="1"/>
    </row>
    <row r="57" spans="1:9" x14ac:dyDescent="0.25">
      <c r="A57" s="1"/>
      <c r="B57" s="1"/>
    </row>
    <row r="58" spans="1:9" x14ac:dyDescent="0.25">
      <c r="A58" s="1"/>
      <c r="B58" s="1"/>
    </row>
    <row r="59" spans="1:9" x14ac:dyDescent="0.25">
      <c r="A59" s="1"/>
      <c r="B59" s="1"/>
    </row>
    <row r="60" spans="1:9" x14ac:dyDescent="0.25">
      <c r="A60" s="1"/>
      <c r="B60" s="1"/>
    </row>
    <row r="61" spans="1:9" x14ac:dyDescent="0.25">
      <c r="A61" s="1"/>
      <c r="B61" s="1"/>
    </row>
    <row r="62" spans="1:9" x14ac:dyDescent="0.25">
      <c r="A62" s="1"/>
      <c r="B62" s="1"/>
    </row>
    <row r="63" spans="1:9" x14ac:dyDescent="0.25">
      <c r="A63" s="1"/>
      <c r="B63" s="1"/>
    </row>
    <row r="64" spans="1:9" x14ac:dyDescent="0.25">
      <c r="A64" s="1"/>
      <c r="B64" s="1"/>
    </row>
    <row r="65" spans="1:3" x14ac:dyDescent="0.25">
      <c r="A65" s="1"/>
      <c r="B65" s="1"/>
    </row>
    <row r="66" spans="1:3" x14ac:dyDescent="0.25">
      <c r="A66" s="1"/>
      <c r="B66" s="1"/>
    </row>
    <row r="67" spans="1:3" x14ac:dyDescent="0.25">
      <c r="A67" s="1"/>
      <c r="B67" s="1"/>
    </row>
    <row r="68" spans="1:3" x14ac:dyDescent="0.25">
      <c r="A68" s="1"/>
      <c r="B68" s="1"/>
    </row>
    <row r="69" spans="1:3" ht="18.75" x14ac:dyDescent="0.3">
      <c r="B69" s="9">
        <f>(((B47+(B48*40)+(B49*45))))</f>
        <v>57.915821213657217</v>
      </c>
    </row>
    <row r="70" spans="1:3" ht="18.75" x14ac:dyDescent="0.3">
      <c r="B70" s="9"/>
    </row>
    <row r="71" spans="1:3" ht="18.75" x14ac:dyDescent="0.3">
      <c r="B71" s="9"/>
    </row>
    <row r="73" spans="1:3" ht="28.5" x14ac:dyDescent="0.45">
      <c r="B73" s="12">
        <f>((((((B47+(B48*40)+(B49*45))))+B37)))</f>
        <v>61.056611107497673</v>
      </c>
      <c r="C73" s="12">
        <f>(((((B47+(B48*40)+(B49*45)))-B37)))</f>
        <v>54.775031319816762</v>
      </c>
    </row>
    <row r="74" spans="1:3" ht="28.5" x14ac:dyDescent="0.45">
      <c r="B74" s="13"/>
      <c r="C74" s="13"/>
    </row>
    <row r="75" spans="1:3" ht="28.5" x14ac:dyDescent="0.45">
      <c r="B75" s="13"/>
      <c r="C75" s="12">
        <f>(B73+C73)/2</f>
        <v>57.915821213657217</v>
      </c>
    </row>
    <row r="236" spans="15:16" x14ac:dyDescent="0.25">
      <c r="O236" t="s">
        <v>4</v>
      </c>
    </row>
    <row r="237" spans="15:16" ht="15.75" thickBot="1" x14ac:dyDescent="0.3"/>
    <row r="238" spans="15:16" x14ac:dyDescent="0.25">
      <c r="O238" s="4" t="s">
        <v>5</v>
      </c>
      <c r="P238" s="4"/>
    </row>
    <row r="239" spans="15:16" x14ac:dyDescent="0.25">
      <c r="O239" s="1" t="s">
        <v>6</v>
      </c>
      <c r="P239" s="1">
        <v>0.85836417618205796</v>
      </c>
    </row>
    <row r="240" spans="15:16" x14ac:dyDescent="0.25">
      <c r="O240" s="1" t="s">
        <v>7</v>
      </c>
      <c r="P240" s="1">
        <v>0.73678905895270297</v>
      </c>
    </row>
    <row r="241" spans="15:23" x14ac:dyDescent="0.25">
      <c r="O241" s="1" t="s">
        <v>8</v>
      </c>
      <c r="P241" s="1">
        <v>0.69292056877815345</v>
      </c>
    </row>
    <row r="242" spans="15:23" x14ac:dyDescent="0.25">
      <c r="O242" s="1" t="s">
        <v>9</v>
      </c>
      <c r="P242" s="1">
        <v>3.1407898938404593</v>
      </c>
    </row>
    <row r="243" spans="15:23" ht="15.75" thickBot="1" x14ac:dyDescent="0.3">
      <c r="O243" s="2" t="s">
        <v>10</v>
      </c>
      <c r="P243" s="2">
        <v>15</v>
      </c>
    </row>
    <row r="245" spans="15:23" ht="15.75" thickBot="1" x14ac:dyDescent="0.3">
      <c r="O245" t="s">
        <v>11</v>
      </c>
    </row>
    <row r="246" spans="15:23" x14ac:dyDescent="0.25">
      <c r="O246" s="3"/>
      <c r="P246" s="3" t="s">
        <v>16</v>
      </c>
      <c r="Q246" s="3" t="s">
        <v>17</v>
      </c>
      <c r="R246" s="3" t="s">
        <v>18</v>
      </c>
      <c r="S246" s="3" t="s">
        <v>19</v>
      </c>
      <c r="T246" s="3" t="s">
        <v>20</v>
      </c>
    </row>
    <row r="247" spans="15:23" x14ac:dyDescent="0.25">
      <c r="O247" s="1" t="s">
        <v>12</v>
      </c>
      <c r="P247" s="1">
        <v>2</v>
      </c>
      <c r="Q247" s="1">
        <v>331.35859944632898</v>
      </c>
      <c r="R247" s="1">
        <v>165.67929972316449</v>
      </c>
      <c r="S247" s="1">
        <v>16.795404993905048</v>
      </c>
      <c r="T247" s="1">
        <v>3.3252448336528584E-4</v>
      </c>
    </row>
    <row r="248" spans="15:23" x14ac:dyDescent="0.25">
      <c r="O248" s="1" t="s">
        <v>13</v>
      </c>
      <c r="P248" s="1">
        <v>12</v>
      </c>
      <c r="Q248" s="1">
        <v>118.37473388700435</v>
      </c>
      <c r="R248" s="1">
        <v>9.8645611572503622</v>
      </c>
      <c r="S248" s="1"/>
      <c r="T248" s="1"/>
    </row>
    <row r="249" spans="15:23" ht="15.75" thickBot="1" x14ac:dyDescent="0.3">
      <c r="O249" s="2" t="s">
        <v>14</v>
      </c>
      <c r="P249" s="2">
        <v>14</v>
      </c>
      <c r="Q249" s="2">
        <v>449.73333333333335</v>
      </c>
      <c r="R249" s="2"/>
      <c r="S249" s="2"/>
      <c r="T249" s="2"/>
    </row>
    <row r="250" spans="15:23" ht="15.75" thickBot="1" x14ac:dyDescent="0.3"/>
    <row r="251" spans="15:23" x14ac:dyDescent="0.25">
      <c r="O251" s="3"/>
      <c r="P251" s="3" t="s">
        <v>21</v>
      </c>
      <c r="Q251" s="3" t="s">
        <v>9</v>
      </c>
      <c r="R251" s="3" t="s">
        <v>22</v>
      </c>
      <c r="S251" s="3" t="s">
        <v>23</v>
      </c>
      <c r="T251" s="3" t="s">
        <v>24</v>
      </c>
      <c r="U251" s="3" t="s">
        <v>25</v>
      </c>
      <c r="V251" s="3" t="s">
        <v>26</v>
      </c>
      <c r="W251" s="3" t="s">
        <v>27</v>
      </c>
    </row>
    <row r="252" spans="15:23" x14ac:dyDescent="0.25">
      <c r="O252" s="1" t="s">
        <v>15</v>
      </c>
      <c r="P252" s="1">
        <v>2.3112020899130474</v>
      </c>
      <c r="Q252" s="1">
        <v>5.8573027249418281</v>
      </c>
      <c r="R252" s="1">
        <v>0.39458470877241558</v>
      </c>
      <c r="S252" s="1">
        <v>0.7000724891391652</v>
      </c>
      <c r="T252" s="1">
        <v>-10.450764234435026</v>
      </c>
      <c r="U252" s="1">
        <v>15.07316841426112</v>
      </c>
      <c r="V252" s="1">
        <v>-10.450764234435026</v>
      </c>
      <c r="W252" s="1">
        <v>15.07316841426112</v>
      </c>
    </row>
    <row r="253" spans="15:23" x14ac:dyDescent="0.25">
      <c r="O253" s="1" t="s">
        <v>28</v>
      </c>
      <c r="P253" s="1">
        <v>0.87720461132556127</v>
      </c>
      <c r="Q253" s="1">
        <v>0.15303459673374642</v>
      </c>
      <c r="R253" s="1">
        <v>5.732067323650643</v>
      </c>
      <c r="S253" s="1">
        <v>9.425137660746066E-5</v>
      </c>
      <c r="T253" s="1">
        <v>0.54377086857912404</v>
      </c>
      <c r="U253" s="1">
        <v>1.2106383540719985</v>
      </c>
      <c r="V253" s="1">
        <v>0.54377086857912404</v>
      </c>
      <c r="W253" s="1">
        <v>1.2106383540719985</v>
      </c>
    </row>
    <row r="254" spans="15:23" ht="15.75" thickBot="1" x14ac:dyDescent="0.3">
      <c r="O254" s="2" t="s">
        <v>29</v>
      </c>
      <c r="P254" s="2">
        <v>0.45592077046048274</v>
      </c>
      <c r="Q254" s="2">
        <v>0.14676233487448434</v>
      </c>
      <c r="R254" s="2">
        <v>3.1065243739165105</v>
      </c>
      <c r="S254" s="2">
        <v>9.0792769042203538E-3</v>
      </c>
      <c r="T254" s="2">
        <v>0.13615311232403815</v>
      </c>
      <c r="U254" s="2">
        <v>0.77568842859692733</v>
      </c>
      <c r="V254" s="2">
        <v>0.13615311232403815</v>
      </c>
      <c r="W254" s="2">
        <v>0.77568842859692733</v>
      </c>
    </row>
    <row r="258" spans="15:16" x14ac:dyDescent="0.25">
      <c r="O258" t="s">
        <v>31</v>
      </c>
    </row>
    <row r="259" spans="15:16" ht="15.75" thickBot="1" x14ac:dyDescent="0.3"/>
    <row r="260" spans="15:16" x14ac:dyDescent="0.25">
      <c r="O260" s="3" t="s">
        <v>32</v>
      </c>
      <c r="P260" s="3" t="s">
        <v>33</v>
      </c>
    </row>
    <row r="261" spans="15:16" x14ac:dyDescent="0.25">
      <c r="O261" s="1">
        <v>3.3333333333333335</v>
      </c>
      <c r="P261" s="1">
        <v>24</v>
      </c>
    </row>
    <row r="262" spans="15:16" x14ac:dyDescent="0.25">
      <c r="O262" s="1">
        <v>10</v>
      </c>
      <c r="P262" s="1">
        <v>25</v>
      </c>
    </row>
    <row r="263" spans="15:16" x14ac:dyDescent="0.25">
      <c r="O263" s="1">
        <v>16.666666666666668</v>
      </c>
      <c r="P263" s="1">
        <v>25</v>
      </c>
    </row>
    <row r="264" spans="15:16" x14ac:dyDescent="0.25">
      <c r="O264" s="1">
        <v>23.333333333333332</v>
      </c>
      <c r="P264" s="1">
        <v>26</v>
      </c>
    </row>
    <row r="265" spans="15:16" x14ac:dyDescent="0.25">
      <c r="O265" s="1">
        <v>30</v>
      </c>
      <c r="P265" s="1">
        <v>27</v>
      </c>
    </row>
    <row r="266" spans="15:16" x14ac:dyDescent="0.25">
      <c r="O266" s="1">
        <v>36.666666666666671</v>
      </c>
      <c r="P266" s="1">
        <v>28</v>
      </c>
    </row>
    <row r="267" spans="15:16" x14ac:dyDescent="0.25">
      <c r="O267" s="1">
        <v>43.333333333333336</v>
      </c>
      <c r="P267" s="1">
        <v>29</v>
      </c>
    </row>
    <row r="268" spans="15:16" x14ac:dyDescent="0.25">
      <c r="O268" s="1">
        <v>50.000000000000007</v>
      </c>
      <c r="P268" s="1">
        <v>30</v>
      </c>
    </row>
    <row r="269" spans="15:16" x14ac:dyDescent="0.25">
      <c r="O269" s="1">
        <v>56.666666666666671</v>
      </c>
      <c r="P269" s="1">
        <v>31</v>
      </c>
    </row>
    <row r="270" spans="15:16" x14ac:dyDescent="0.25">
      <c r="O270" s="1">
        <v>63.333333333333336</v>
      </c>
      <c r="P270" s="1">
        <v>31</v>
      </c>
    </row>
    <row r="271" spans="15:16" x14ac:dyDescent="0.25">
      <c r="O271" s="1">
        <v>70</v>
      </c>
      <c r="P271" s="1">
        <v>33</v>
      </c>
    </row>
    <row r="272" spans="15:16" x14ac:dyDescent="0.25">
      <c r="O272" s="1">
        <v>76.666666666666671</v>
      </c>
      <c r="P272" s="1">
        <v>33</v>
      </c>
    </row>
    <row r="273" spans="15:16" x14ac:dyDescent="0.25">
      <c r="O273" s="1">
        <v>83.333333333333329</v>
      </c>
      <c r="P273" s="1">
        <v>39</v>
      </c>
    </row>
    <row r="274" spans="15:16" x14ac:dyDescent="0.25">
      <c r="O274" s="1">
        <v>90</v>
      </c>
      <c r="P274" s="1">
        <v>40</v>
      </c>
    </row>
    <row r="275" spans="15:16" ht="15.75" thickBot="1" x14ac:dyDescent="0.3">
      <c r="O275" s="2">
        <v>96.666666666666671</v>
      </c>
      <c r="P275" s="2">
        <v>42</v>
      </c>
    </row>
  </sheetData>
  <sortState xmlns:xlrd2="http://schemas.microsoft.com/office/spreadsheetml/2017/richdata2" ref="B55:B68">
    <sortCondition ref="B55"/>
  </sortState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Exercício 1</vt:lpstr>
      <vt:lpstr>GABARITO 1</vt:lpstr>
      <vt:lpstr>Exercício 2</vt:lpstr>
      <vt:lpstr>GABARITO 2</vt:lpstr>
      <vt:lpstr>Exercício 3</vt:lpstr>
      <vt:lpstr>GABARITO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Demerval Luiz Polizelli</dc:creator>
  <cp:lastModifiedBy>Demerval Luiz Polizelli</cp:lastModifiedBy>
  <dcterms:created xsi:type="dcterms:W3CDTF">2017-09-13T19:11:23Z</dcterms:created>
  <dcterms:modified xsi:type="dcterms:W3CDTF">2019-08-18T18:25:55Z</dcterms:modified>
</cp:coreProperties>
</file>