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o\Desktop\GUIA de ESTUDOS_01_02Semestre de 2019\"/>
    </mc:Choice>
  </mc:AlternateContent>
  <xr:revisionPtr revIDLastSave="0" documentId="13_ncr:1_{635ED95D-1F2B-4638-90BB-F129BB0D78F8}" xr6:coauthVersionLast="43" xr6:coauthVersionMax="43" xr10:uidLastSave="{00000000-0000-0000-0000-000000000000}"/>
  <bookViews>
    <workbookView xWindow="-120" yWindow="-120" windowWidth="29040" windowHeight="15840" xr2:uid="{B336C96B-22C7-4E31-9AF1-F3A563987FE3}"/>
  </bookViews>
  <sheets>
    <sheet name="GABARITO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4" i="1" l="1"/>
  <c r="K55" i="1" l="1"/>
  <c r="K53" i="1"/>
  <c r="K25" i="1"/>
</calcChain>
</file>

<file path=xl/sharedStrings.xml><?xml version="1.0" encoding="utf-8"?>
<sst xmlns="http://schemas.openxmlformats.org/spreadsheetml/2006/main" count="68" uniqueCount="33">
  <si>
    <t>Máquina número</t>
  </si>
  <si>
    <t xml:space="preserve"> Tempo de uso (anos)</t>
  </si>
  <si>
    <t>Consumo de energia</t>
  </si>
  <si>
    <t>Emissão de resíduos (kg)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</si>
  <si>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</si>
  <si>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</si>
  <si>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</si>
  <si>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</si>
  <si>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</si>
  <si>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</si>
  <si>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</si>
  <si>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</si>
  <si>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</si>
  <si>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</si>
  <si>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</si>
  <si>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</si>
  <si>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</si>
  <si>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</si>
  <si>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</si>
  <si>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</si>
  <si>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</si>
  <si>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</si>
  <si>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</si>
  <si>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</si>
  <si>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</si>
  <si>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</si>
  <si>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</si>
  <si>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</si>
  <si>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Variável X 1</t>
  </si>
  <si>
    <t>Variável X 2</t>
  </si>
  <si>
    <t>Estoques (mil)</t>
  </si>
  <si>
    <t>sistemas automatizados.</t>
  </si>
  <si>
    <t>Produção (1.000)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</si>
</sst>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2F75B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13">
    <border>
      <left/>
      <right/>
      <top/>
      <bottom/>
      <diagonal/>
    </border>
    <border>
      <left style="medium">
        <color rgb="FF8EA9DB"/>
      </left>
      <right/>
      <top style="medium">
        <color rgb="FF8EA9DB"/>
      </top>
      <bottom style="medium">
        <color rgb="FF8EA9DB"/>
      </bottom>
      <diagonal/>
    </border>
    <border>
      <left/>
      <right/>
      <top style="medium">
        <color rgb="FF8EA9DB"/>
      </top>
      <bottom style="medium">
        <color rgb="FF8EA9DB"/>
      </bottom>
      <diagonal/>
    </border>
    <border>
      <left/>
      <right style="medium">
        <color rgb="FF8EA9DB"/>
      </right>
      <top style="medium">
        <color rgb="FF8EA9DB"/>
      </top>
      <bottom style="medium">
        <color rgb="FF8EA9DB"/>
      </bottom>
      <diagonal/>
    </border>
    <border>
      <left style="medium">
        <color rgb="FF8EA9DB"/>
      </left>
      <right/>
      <top/>
      <bottom style="medium">
        <color rgb="FF8EA9DB"/>
      </bottom>
      <diagonal/>
    </border>
    <border>
      <left/>
      <right/>
      <top/>
      <bottom style="medium">
        <color rgb="FF8EA9DB"/>
      </bottom>
      <diagonal/>
    </border>
    <border>
      <left/>
      <right style="medium">
        <color rgb="FF8EA9DB"/>
      </right>
      <top/>
      <bottom style="medium">
        <color rgb="FF8EA9DB"/>
      </bottom>
      <diagonal/>
    </border>
    <border>
      <left style="medium">
        <color rgb="FF8EA9DB"/>
      </left>
      <right/>
      <top/>
      <bottom/>
      <diagonal/>
    </border>
    <border>
      <left/>
      <right style="medium">
        <color rgb="FF8EA9DB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/>
      <top/>
      <bottom style="medium">
        <color rgb="FF5B9BD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Fill="1" applyBorder="1" applyAlignment="1"/>
    <xf numFmtId="0" fontId="0" fillId="0" borderId="9" xfId="0" applyFill="1" applyBorder="1" applyAlignment="1"/>
    <xf numFmtId="0" fontId="3" fillId="0" borderId="1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Continuous"/>
    </xf>
    <xf numFmtId="0" fontId="4" fillId="0" borderId="11" xfId="0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4" fontId="0" fillId="0" borderId="0" xfId="0" applyNumberFormat="1" applyAlignment="1">
      <alignment horizontal="left" indent="10"/>
    </xf>
    <xf numFmtId="2" fontId="0" fillId="0" borderId="0" xfId="0" applyNumberFormat="1"/>
    <xf numFmtId="0" fontId="5" fillId="0" borderId="0" xfId="0" applyFont="1" applyFill="1" applyBorder="1" applyAlignment="1"/>
    <xf numFmtId="0" fontId="5" fillId="0" borderId="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7309-481C-4037-9A65-B21F5F3DDEF4}">
  <dimension ref="C3:S55"/>
  <sheetViews>
    <sheetView tabSelected="1" topLeftCell="B1" workbookViewId="0">
      <selection activeCell="N55" sqref="N55"/>
    </sheetView>
  </sheetViews>
  <sheetFormatPr defaultRowHeight="15" x14ac:dyDescent="0.25"/>
  <cols>
    <col min="3" max="3" width="17.5703125" customWidth="1"/>
    <col min="4" max="4" width="18.5703125" customWidth="1"/>
    <col min="5" max="5" width="24.5703125" customWidth="1"/>
    <col min="6" max="6" width="19.85546875" customWidth="1"/>
    <col min="11" max="11" width="18.5703125" customWidth="1"/>
    <col min="12" max="12" width="14" customWidth="1"/>
    <col min="13" max="13" width="18.140625" customWidth="1"/>
    <col min="14" max="14" width="13.140625" customWidth="1"/>
    <col min="15" max="15" width="13.7109375" customWidth="1"/>
    <col min="16" max="16" width="13.140625" customWidth="1"/>
    <col min="17" max="17" width="16" customWidth="1"/>
    <col min="18" max="18" width="11" customWidth="1"/>
  </cols>
  <sheetData>
    <row r="3" spans="3:16" x14ac:dyDescent="0.25">
      <c r="K3" t="s">
        <v>4</v>
      </c>
    </row>
    <row r="4" spans="3:16" ht="15.75" thickBot="1" x14ac:dyDescent="0.3"/>
    <row r="5" spans="3:16" ht="15.75" thickBot="1" x14ac:dyDescent="0.3">
      <c r="C5" s="1" t="s">
        <v>0</v>
      </c>
      <c r="D5" s="2" t="s">
        <v>1</v>
      </c>
      <c r="E5" s="2" t="s">
        <v>2</v>
      </c>
      <c r="F5" s="3" t="s">
        <v>3</v>
      </c>
      <c r="K5" s="19" t="s">
        <v>5</v>
      </c>
      <c r="L5" s="19"/>
    </row>
    <row r="6" spans="3:16" ht="15.75" thickBot="1" x14ac:dyDescent="0.3">
      <c r="C6" s="4">
        <v>111</v>
      </c>
      <c r="D6" s="5">
        <v>6</v>
      </c>
      <c r="E6" s="5">
        <v>3.5</v>
      </c>
      <c r="F6" s="6">
        <v>15.3</v>
      </c>
      <c r="K6" s="16" t="s">
        <v>6</v>
      </c>
      <c r="L6" s="16">
        <v>0.80230257001092997</v>
      </c>
    </row>
    <row r="7" spans="3:16" ht="15.75" thickBot="1" x14ac:dyDescent="0.3">
      <c r="C7" s="7">
        <v>121</v>
      </c>
      <c r="D7" s="8">
        <v>5</v>
      </c>
      <c r="E7" s="8">
        <v>3.75</v>
      </c>
      <c r="F7" s="9">
        <v>10.4</v>
      </c>
      <c r="K7" s="16" t="s">
        <v>7</v>
      </c>
      <c r="L7" s="16">
        <v>0.6436894138461432</v>
      </c>
    </row>
    <row r="8" spans="3:16" ht="15.75" thickBot="1" x14ac:dyDescent="0.3">
      <c r="C8" s="4">
        <v>131</v>
      </c>
      <c r="D8" s="5">
        <v>2</v>
      </c>
      <c r="E8" s="5">
        <v>1.9</v>
      </c>
      <c r="F8" s="6">
        <v>10.5</v>
      </c>
      <c r="K8" s="16" t="s">
        <v>8</v>
      </c>
      <c r="L8" s="16">
        <v>0.5927879015384494</v>
      </c>
    </row>
    <row r="9" spans="3:16" ht="15.75" thickBot="1" x14ac:dyDescent="0.3">
      <c r="C9" s="7">
        <v>141</v>
      </c>
      <c r="D9" s="8">
        <v>1</v>
      </c>
      <c r="E9" s="8">
        <v>0.9</v>
      </c>
      <c r="F9" s="9">
        <v>1.71</v>
      </c>
      <c r="K9" s="16" t="s">
        <v>9</v>
      </c>
      <c r="L9" s="16">
        <v>2.9878597263628932</v>
      </c>
    </row>
    <row r="10" spans="3:16" ht="15.75" thickBot="1" x14ac:dyDescent="0.3">
      <c r="C10" s="4">
        <v>151</v>
      </c>
      <c r="D10" s="5">
        <v>4</v>
      </c>
      <c r="E10" s="5">
        <v>2.8</v>
      </c>
      <c r="F10" s="6">
        <v>10.4</v>
      </c>
      <c r="K10" s="17" t="s">
        <v>10</v>
      </c>
      <c r="L10" s="17">
        <v>17</v>
      </c>
    </row>
    <row r="11" spans="3:16" ht="15.75" thickBot="1" x14ac:dyDescent="0.3">
      <c r="C11" s="7">
        <v>161</v>
      </c>
      <c r="D11" s="8">
        <v>3</v>
      </c>
      <c r="E11" s="8">
        <v>2.4500000000000002</v>
      </c>
      <c r="F11" s="9">
        <v>10.1</v>
      </c>
    </row>
    <row r="12" spans="3:16" ht="15.75" thickBot="1" x14ac:dyDescent="0.3">
      <c r="C12" s="4">
        <v>171</v>
      </c>
      <c r="D12" s="5">
        <v>6</v>
      </c>
      <c r="E12" s="5">
        <v>3.8</v>
      </c>
      <c r="F12" s="6">
        <v>12.2</v>
      </c>
      <c r="K12" t="s">
        <v>11</v>
      </c>
    </row>
    <row r="13" spans="3:16" ht="15.75" thickBot="1" x14ac:dyDescent="0.3">
      <c r="C13" s="7">
        <v>181</v>
      </c>
      <c r="D13" s="8">
        <v>1</v>
      </c>
      <c r="E13" s="8">
        <v>0.9</v>
      </c>
      <c r="F13" s="9">
        <v>1.7</v>
      </c>
      <c r="K13" s="18"/>
      <c r="L13" s="18" t="s">
        <v>16</v>
      </c>
      <c r="M13" s="18" t="s">
        <v>17</v>
      </c>
      <c r="N13" s="18" t="s">
        <v>18</v>
      </c>
      <c r="O13" s="18" t="s">
        <v>19</v>
      </c>
      <c r="P13" s="18" t="s">
        <v>20</v>
      </c>
    </row>
    <row r="14" spans="3:16" ht="15.75" thickBot="1" x14ac:dyDescent="0.3">
      <c r="C14" s="4">
        <v>191</v>
      </c>
      <c r="D14" s="5">
        <v>4</v>
      </c>
      <c r="E14" s="5">
        <v>2.2000000000000002</v>
      </c>
      <c r="F14" s="6">
        <v>3.01</v>
      </c>
      <c r="K14" s="16" t="s">
        <v>12</v>
      </c>
      <c r="L14" s="16">
        <v>2</v>
      </c>
      <c r="M14" s="16">
        <v>225.78551957810117</v>
      </c>
      <c r="N14" s="16">
        <v>112.89275978905059</v>
      </c>
      <c r="O14" s="16">
        <v>12.64578171970833</v>
      </c>
      <c r="P14" s="16">
        <v>7.2912347223355698E-4</v>
      </c>
    </row>
    <row r="15" spans="3:16" ht="15.75" thickBot="1" x14ac:dyDescent="0.3">
      <c r="C15" s="7">
        <v>201</v>
      </c>
      <c r="D15" s="8">
        <v>2</v>
      </c>
      <c r="E15" s="8">
        <v>1.1000000000000001</v>
      </c>
      <c r="F15" s="9">
        <v>2.0299999999999998</v>
      </c>
      <c r="K15" s="16" t="s">
        <v>13</v>
      </c>
      <c r="L15" s="16">
        <v>14</v>
      </c>
      <c r="M15" s="16">
        <v>124.98228042189881</v>
      </c>
      <c r="N15" s="16">
        <v>8.9273057444213428</v>
      </c>
      <c r="O15" s="16"/>
      <c r="P15" s="16"/>
    </row>
    <row r="16" spans="3:16" ht="15.75" thickBot="1" x14ac:dyDescent="0.3">
      <c r="C16" s="10">
        <v>202</v>
      </c>
      <c r="D16" s="11">
        <v>1</v>
      </c>
      <c r="E16" s="11">
        <v>1.1000000000000001</v>
      </c>
      <c r="F16" s="12">
        <v>2.02</v>
      </c>
      <c r="K16" s="17" t="s">
        <v>14</v>
      </c>
      <c r="L16" s="17">
        <v>16</v>
      </c>
      <c r="M16" s="17">
        <v>350.76779999999997</v>
      </c>
      <c r="N16" s="17"/>
      <c r="O16" s="17"/>
      <c r="P16" s="17"/>
    </row>
    <row r="17" spans="3:19" ht="15.75" thickBot="1" x14ac:dyDescent="0.3">
      <c r="C17" s="13">
        <v>203</v>
      </c>
      <c r="D17" s="14">
        <v>5</v>
      </c>
      <c r="E17" s="14">
        <v>1.8</v>
      </c>
      <c r="F17" s="15">
        <v>2.5</v>
      </c>
    </row>
    <row r="18" spans="3:19" x14ac:dyDescent="0.25">
      <c r="C18" s="10">
        <v>204</v>
      </c>
      <c r="D18" s="11">
        <v>3</v>
      </c>
      <c r="E18" s="11">
        <v>2.2000000000000002</v>
      </c>
      <c r="F18" s="12">
        <v>2.8</v>
      </c>
      <c r="K18" s="18"/>
      <c r="L18" s="18" t="s">
        <v>21</v>
      </c>
      <c r="M18" s="18" t="s">
        <v>9</v>
      </c>
      <c r="N18" s="18" t="s">
        <v>22</v>
      </c>
      <c r="O18" s="18" t="s">
        <v>23</v>
      </c>
      <c r="P18" s="18" t="s">
        <v>24</v>
      </c>
      <c r="Q18" s="18" t="s">
        <v>25</v>
      </c>
      <c r="R18" s="18" t="s">
        <v>26</v>
      </c>
      <c r="S18" s="18" t="s">
        <v>27</v>
      </c>
    </row>
    <row r="19" spans="3:19" x14ac:dyDescent="0.25">
      <c r="C19" s="13">
        <v>205</v>
      </c>
      <c r="D19" s="14">
        <v>5</v>
      </c>
      <c r="E19" s="14">
        <v>2.8</v>
      </c>
      <c r="F19" s="15">
        <v>2.9</v>
      </c>
      <c r="K19" s="16" t="s">
        <v>15</v>
      </c>
      <c r="L19" s="16">
        <v>-2.6882617080744673</v>
      </c>
      <c r="M19" s="16">
        <v>1.9490613469131894</v>
      </c>
      <c r="N19" s="16">
        <v>-1.3792596689334486</v>
      </c>
      <c r="O19" s="16">
        <v>0.18945048801363293</v>
      </c>
      <c r="P19" s="16">
        <v>-6.8685825388690214</v>
      </c>
      <c r="Q19" s="16">
        <v>1.4920591227200868</v>
      </c>
      <c r="R19" s="16">
        <v>-6.8685825388690214</v>
      </c>
      <c r="S19" s="16">
        <v>1.4920591227200868</v>
      </c>
    </row>
    <row r="20" spans="3:19" x14ac:dyDescent="0.25">
      <c r="C20" s="10">
        <v>207</v>
      </c>
      <c r="D20" s="11">
        <v>2</v>
      </c>
      <c r="E20" s="11">
        <v>1.9</v>
      </c>
      <c r="F20" s="12">
        <v>2</v>
      </c>
      <c r="K20" s="16" t="s">
        <v>28</v>
      </c>
      <c r="L20" s="16">
        <v>-0.5311147285082467</v>
      </c>
      <c r="M20" s="16">
        <v>0.73403493471628212</v>
      </c>
      <c r="N20" s="16">
        <v>-0.72355511078438284</v>
      </c>
      <c r="O20" s="16">
        <v>0.48125454825041292</v>
      </c>
      <c r="P20" s="16">
        <v>-2.1054630849543434</v>
      </c>
      <c r="Q20" s="16">
        <v>1.0432336279378498</v>
      </c>
      <c r="R20" s="16">
        <v>-2.1054630849543434</v>
      </c>
      <c r="S20" s="16">
        <v>1.0432336279378498</v>
      </c>
    </row>
    <row r="21" spans="3:19" ht="15.75" thickBot="1" x14ac:dyDescent="0.3">
      <c r="C21" s="13">
        <v>208</v>
      </c>
      <c r="D21" s="14">
        <v>6</v>
      </c>
      <c r="E21" s="14">
        <v>3.2</v>
      </c>
      <c r="F21" s="15">
        <v>9.6999999999999993</v>
      </c>
      <c r="K21" s="17" t="s">
        <v>29</v>
      </c>
      <c r="L21" s="17">
        <v>4.7992519625838135</v>
      </c>
      <c r="M21" s="17">
        <v>1.5169953404442071</v>
      </c>
      <c r="N21" s="17">
        <v>3.1636563637555373</v>
      </c>
      <c r="O21" s="17">
        <v>6.9017096085837457E-3</v>
      </c>
      <c r="P21" s="17">
        <v>1.5456205507657406</v>
      </c>
      <c r="Q21" s="17">
        <v>8.0528833744018868</v>
      </c>
      <c r="R21" s="17">
        <v>1.5456205507657406</v>
      </c>
      <c r="S21" s="17">
        <v>8.0528833744018868</v>
      </c>
    </row>
    <row r="22" spans="3:19" x14ac:dyDescent="0.25">
      <c r="C22" s="10">
        <v>209</v>
      </c>
      <c r="D22" s="11">
        <v>7</v>
      </c>
      <c r="E22" s="11">
        <v>2.9</v>
      </c>
      <c r="F22" s="12">
        <v>9.6999999999999993</v>
      </c>
    </row>
    <row r="24" spans="3:19" x14ac:dyDescent="0.25">
      <c r="K24">
        <f>((-0.53+2.1)/0.73)</f>
        <v>2.1506849315068495</v>
      </c>
    </row>
    <row r="25" spans="3:19" x14ac:dyDescent="0.25">
      <c r="K25">
        <f>((4.8-1.55)/1.51)</f>
        <v>2.1523178807947021</v>
      </c>
    </row>
    <row r="31" spans="3:19" ht="15.75" thickBot="1" x14ac:dyDescent="0.3"/>
    <row r="32" spans="3:19" ht="15.75" thickBot="1" x14ac:dyDescent="0.3">
      <c r="C32" s="20" t="s">
        <v>30</v>
      </c>
      <c r="D32" s="20" t="s">
        <v>31</v>
      </c>
      <c r="E32" s="20" t="s">
        <v>32</v>
      </c>
      <c r="K32" t="s">
        <v>4</v>
      </c>
    </row>
    <row r="33" spans="3:19" ht="15.75" thickBot="1" x14ac:dyDescent="0.3">
      <c r="C33" s="21">
        <v>1100</v>
      </c>
      <c r="D33" s="22">
        <v>0</v>
      </c>
      <c r="E33" s="22">
        <v>173</v>
      </c>
    </row>
    <row r="34" spans="3:19" ht="15.75" thickBot="1" x14ac:dyDescent="0.3">
      <c r="C34" s="21">
        <v>1150</v>
      </c>
      <c r="D34" s="22">
        <v>1</v>
      </c>
      <c r="E34" s="22">
        <v>186</v>
      </c>
      <c r="K34" s="19" t="s">
        <v>5</v>
      </c>
      <c r="L34" s="19"/>
    </row>
    <row r="35" spans="3:19" ht="15.75" thickBot="1" x14ac:dyDescent="0.3">
      <c r="C35" s="21">
        <v>1400</v>
      </c>
      <c r="D35" s="22">
        <v>0</v>
      </c>
      <c r="E35" s="22">
        <v>187</v>
      </c>
      <c r="K35" s="16" t="s">
        <v>6</v>
      </c>
      <c r="L35" s="16">
        <v>0.9646565083194969</v>
      </c>
    </row>
    <row r="36" spans="3:19" ht="15.75" thickBot="1" x14ac:dyDescent="0.3">
      <c r="C36" s="21">
        <v>1700</v>
      </c>
      <c r="D36" s="22">
        <v>1</v>
      </c>
      <c r="E36" s="22">
        <v>198</v>
      </c>
      <c r="K36" s="16" t="s">
        <v>7</v>
      </c>
      <c r="L36" s="16">
        <v>0.93056217904316363</v>
      </c>
    </row>
    <row r="37" spans="3:19" ht="15.75" thickBot="1" x14ac:dyDescent="0.3">
      <c r="C37" s="21">
        <v>1900</v>
      </c>
      <c r="D37" s="22">
        <v>0</v>
      </c>
      <c r="E37" s="22">
        <v>195</v>
      </c>
      <c r="K37" s="16" t="s">
        <v>8</v>
      </c>
      <c r="L37" s="16">
        <v>0.91513155216386666</v>
      </c>
    </row>
    <row r="38" spans="3:19" ht="15.75" thickBot="1" x14ac:dyDescent="0.3">
      <c r="C38" s="21">
        <v>2100</v>
      </c>
      <c r="D38" s="22">
        <v>2</v>
      </c>
      <c r="E38" s="22">
        <v>225</v>
      </c>
      <c r="K38" s="16" t="s">
        <v>9</v>
      </c>
      <c r="L38" s="16">
        <v>7.4896910649597306</v>
      </c>
    </row>
    <row r="39" spans="3:19" ht="15.75" thickBot="1" x14ac:dyDescent="0.3">
      <c r="C39" s="21">
        <v>1800</v>
      </c>
      <c r="D39" s="22">
        <v>1</v>
      </c>
      <c r="E39" s="22">
        <v>205</v>
      </c>
      <c r="K39" s="17" t="s">
        <v>10</v>
      </c>
      <c r="L39" s="17">
        <v>12</v>
      </c>
    </row>
    <row r="40" spans="3:19" ht="15.75" thickBot="1" x14ac:dyDescent="0.3">
      <c r="C40" s="21">
        <v>1900</v>
      </c>
      <c r="D40" s="22">
        <v>1</v>
      </c>
      <c r="E40" s="22">
        <v>225</v>
      </c>
    </row>
    <row r="41" spans="3:19" ht="15.75" thickBot="1" x14ac:dyDescent="0.3">
      <c r="C41" s="21">
        <v>2100</v>
      </c>
      <c r="D41" s="22">
        <v>2</v>
      </c>
      <c r="E41" s="22">
        <v>237</v>
      </c>
      <c r="K41" t="s">
        <v>11</v>
      </c>
    </row>
    <row r="42" spans="3:19" ht="15.75" thickBot="1" x14ac:dyDescent="0.3">
      <c r="C42" s="21">
        <v>2300</v>
      </c>
      <c r="D42" s="22">
        <v>2</v>
      </c>
      <c r="E42" s="22">
        <v>250</v>
      </c>
      <c r="K42" s="18"/>
      <c r="L42" s="18" t="s">
        <v>16</v>
      </c>
      <c r="M42" s="18" t="s">
        <v>17</v>
      </c>
      <c r="N42" s="18" t="s">
        <v>18</v>
      </c>
      <c r="O42" s="18" t="s">
        <v>19</v>
      </c>
      <c r="P42" s="18" t="s">
        <v>20</v>
      </c>
    </row>
    <row r="43" spans="3:19" ht="15.75" thickBot="1" x14ac:dyDescent="0.3">
      <c r="C43" s="21">
        <v>1400</v>
      </c>
      <c r="D43" s="22">
        <v>1</v>
      </c>
      <c r="E43" s="22">
        <v>190</v>
      </c>
      <c r="K43" s="16" t="s">
        <v>12</v>
      </c>
      <c r="L43" s="16">
        <v>2</v>
      </c>
      <c r="M43" s="16">
        <v>6765.8074164298287</v>
      </c>
      <c r="N43" s="16">
        <v>3382.9037082149143</v>
      </c>
      <c r="O43" s="16">
        <v>60.306181098298971</v>
      </c>
      <c r="P43" s="16">
        <v>6.1260759473617667E-6</v>
      </c>
    </row>
    <row r="44" spans="3:19" ht="15.75" thickBot="1" x14ac:dyDescent="0.3">
      <c r="C44" s="21">
        <v>2200</v>
      </c>
      <c r="D44" s="22">
        <v>2</v>
      </c>
      <c r="E44" s="22">
        <v>245</v>
      </c>
      <c r="K44" s="16" t="s">
        <v>13</v>
      </c>
      <c r="L44" s="16">
        <v>9</v>
      </c>
      <c r="M44" s="16">
        <v>504.85925023683865</v>
      </c>
      <c r="N44" s="16">
        <v>56.095472248537625</v>
      </c>
      <c r="O44" s="16"/>
      <c r="P44" s="16"/>
    </row>
    <row r="45" spans="3:19" ht="15.75" thickBot="1" x14ac:dyDescent="0.3">
      <c r="K45" s="17" t="s">
        <v>14</v>
      </c>
      <c r="L45" s="17">
        <v>11</v>
      </c>
      <c r="M45" s="17">
        <v>7270.666666666667</v>
      </c>
      <c r="N45" s="17"/>
      <c r="O45" s="17"/>
      <c r="P45" s="17"/>
    </row>
    <row r="46" spans="3:19" ht="15.75" thickBot="1" x14ac:dyDescent="0.3"/>
    <row r="47" spans="3:19" x14ac:dyDescent="0.25">
      <c r="K47" s="18"/>
      <c r="L47" s="18" t="s">
        <v>21</v>
      </c>
      <c r="M47" s="18" t="s">
        <v>9</v>
      </c>
      <c r="N47" s="18" t="s">
        <v>22</v>
      </c>
      <c r="O47" s="18" t="s">
        <v>23</v>
      </c>
      <c r="P47" s="18" t="s">
        <v>24</v>
      </c>
      <c r="Q47" s="18" t="s">
        <v>25</v>
      </c>
      <c r="R47" s="18" t="s">
        <v>26</v>
      </c>
      <c r="S47" s="18" t="s">
        <v>27</v>
      </c>
    </row>
    <row r="48" spans="3:19" x14ac:dyDescent="0.25">
      <c r="K48" s="16" t="s">
        <v>15</v>
      </c>
      <c r="L48" s="16">
        <v>125.45554202192444</v>
      </c>
      <c r="M48" s="16">
        <v>11.399809185782521</v>
      </c>
      <c r="N48" s="16">
        <v>11.005056310801114</v>
      </c>
      <c r="O48" s="16">
        <v>1.6037051512969587E-6</v>
      </c>
      <c r="P48" s="25">
        <v>99.667382017773733</v>
      </c>
      <c r="Q48" s="25">
        <v>151.24370202607514</v>
      </c>
      <c r="R48" s="16">
        <v>99.667382017773733</v>
      </c>
      <c r="S48" s="16">
        <v>151.24370202607514</v>
      </c>
    </row>
    <row r="49" spans="11:19" x14ac:dyDescent="0.25">
      <c r="K49" s="16" t="s">
        <v>28</v>
      </c>
      <c r="L49" s="16">
        <v>3.9903911219380181E-2</v>
      </c>
      <c r="M49" s="16">
        <v>7.9379821354066907E-3</v>
      </c>
      <c r="N49" s="16">
        <v>5.0269590607154679</v>
      </c>
      <c r="O49" s="16">
        <v>7.1230851932892864E-4</v>
      </c>
      <c r="P49" s="25">
        <v>2.194694807360574E-2</v>
      </c>
      <c r="Q49" s="25">
        <v>5.7860874365154621E-2</v>
      </c>
      <c r="R49" s="16">
        <v>2.194694807360574E-2</v>
      </c>
      <c r="S49" s="16">
        <v>5.7860874365154621E-2</v>
      </c>
    </row>
    <row r="50" spans="11:19" ht="15.75" thickBot="1" x14ac:dyDescent="0.3">
      <c r="K50" s="17" t="s">
        <v>29</v>
      </c>
      <c r="L50" s="17">
        <v>13.119704966842601</v>
      </c>
      <c r="M50" s="17">
        <v>4.0800513673194043</v>
      </c>
      <c r="N50" s="17">
        <v>3.2155734782972241</v>
      </c>
      <c r="O50" s="17">
        <v>1.0564086966260057E-2</v>
      </c>
      <c r="P50" s="26">
        <v>3.8899875416763994</v>
      </c>
      <c r="Q50" s="26">
        <v>22.349422392008805</v>
      </c>
      <c r="R50" s="17">
        <v>3.8899875416763994</v>
      </c>
      <c r="S50" s="17">
        <v>22.349422392008805</v>
      </c>
    </row>
    <row r="53" spans="11:19" x14ac:dyDescent="0.25">
      <c r="K53">
        <f>((0.04-0.02)/0.008)</f>
        <v>2.5</v>
      </c>
    </row>
    <row r="54" spans="11:19" x14ac:dyDescent="0.25">
      <c r="K54" s="23"/>
    </row>
    <row r="55" spans="11:19" x14ac:dyDescent="0.25">
      <c r="K55" s="24">
        <f>((13.12-3.89)/4.08)</f>
        <v>2.2622549019607838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0649-2B4A-43C7-BC02-16DD80E1CE97}">
  <dimension ref="D5:G45"/>
  <sheetViews>
    <sheetView workbookViewId="0">
      <selection activeCell="L15" sqref="L15"/>
    </sheetView>
  </sheetViews>
  <sheetFormatPr defaultRowHeight="15" x14ac:dyDescent="0.25"/>
  <cols>
    <col min="4" max="4" width="17" customWidth="1"/>
    <col min="5" max="5" width="24.28515625" customWidth="1"/>
    <col min="6" max="6" width="24.5703125" customWidth="1"/>
    <col min="7" max="7" width="27.42578125" customWidth="1"/>
  </cols>
  <sheetData>
    <row r="5" spans="4:7" ht="15.75" thickBot="1" x14ac:dyDescent="0.3"/>
    <row r="6" spans="4:7" ht="15.75" thickBot="1" x14ac:dyDescent="0.3">
      <c r="D6" s="1" t="s">
        <v>0</v>
      </c>
      <c r="E6" s="2" t="s">
        <v>1</v>
      </c>
      <c r="F6" s="2" t="s">
        <v>2</v>
      </c>
      <c r="G6" s="3" t="s">
        <v>3</v>
      </c>
    </row>
    <row r="7" spans="4:7" ht="15.75" thickBot="1" x14ac:dyDescent="0.3">
      <c r="D7" s="4">
        <v>111</v>
      </c>
      <c r="E7" s="5">
        <v>6</v>
      </c>
      <c r="F7" s="5">
        <v>3.5</v>
      </c>
      <c r="G7" s="6">
        <v>15.3</v>
      </c>
    </row>
    <row r="8" spans="4:7" ht="15.75" thickBot="1" x14ac:dyDescent="0.3">
      <c r="D8" s="7">
        <v>121</v>
      </c>
      <c r="E8" s="8">
        <v>5</v>
      </c>
      <c r="F8" s="8">
        <v>3.75</v>
      </c>
      <c r="G8" s="9">
        <v>10.4</v>
      </c>
    </row>
    <row r="9" spans="4:7" ht="15.75" thickBot="1" x14ac:dyDescent="0.3">
      <c r="D9" s="4">
        <v>131</v>
      </c>
      <c r="E9" s="5">
        <v>2</v>
      </c>
      <c r="F9" s="5">
        <v>1.9</v>
      </c>
      <c r="G9" s="6">
        <v>10.5</v>
      </c>
    </row>
    <row r="10" spans="4:7" ht="15.75" thickBot="1" x14ac:dyDescent="0.3">
      <c r="D10" s="7">
        <v>141</v>
      </c>
      <c r="E10" s="8">
        <v>1</v>
      </c>
      <c r="F10" s="8">
        <v>0.9</v>
      </c>
      <c r="G10" s="9">
        <v>1.71</v>
      </c>
    </row>
    <row r="11" spans="4:7" ht="15.75" thickBot="1" x14ac:dyDescent="0.3">
      <c r="D11" s="4">
        <v>151</v>
      </c>
      <c r="E11" s="5">
        <v>4</v>
      </c>
      <c r="F11" s="5">
        <v>2.8</v>
      </c>
      <c r="G11" s="6">
        <v>10.4</v>
      </c>
    </row>
    <row r="12" spans="4:7" ht="15.75" thickBot="1" x14ac:dyDescent="0.3">
      <c r="D12" s="7">
        <v>161</v>
      </c>
      <c r="E12" s="8">
        <v>3</v>
      </c>
      <c r="F12" s="8">
        <v>2.4500000000000002</v>
      </c>
      <c r="G12" s="9">
        <v>10.1</v>
      </c>
    </row>
    <row r="13" spans="4:7" ht="15.75" thickBot="1" x14ac:dyDescent="0.3">
      <c r="D13" s="4">
        <v>171</v>
      </c>
      <c r="E13" s="5">
        <v>6</v>
      </c>
      <c r="F13" s="5">
        <v>3.8</v>
      </c>
      <c r="G13" s="6">
        <v>12.2</v>
      </c>
    </row>
    <row r="14" spans="4:7" ht="15.75" thickBot="1" x14ac:dyDescent="0.3">
      <c r="D14" s="7">
        <v>181</v>
      </c>
      <c r="E14" s="8">
        <v>1</v>
      </c>
      <c r="F14" s="8">
        <v>0.9</v>
      </c>
      <c r="G14" s="9">
        <v>1.7</v>
      </c>
    </row>
    <row r="15" spans="4:7" ht="15.75" thickBot="1" x14ac:dyDescent="0.3">
      <c r="D15" s="4">
        <v>191</v>
      </c>
      <c r="E15" s="5">
        <v>4</v>
      </c>
      <c r="F15" s="5">
        <v>2.2000000000000002</v>
      </c>
      <c r="G15" s="6">
        <v>3.01</v>
      </c>
    </row>
    <row r="16" spans="4:7" ht="15.75" thickBot="1" x14ac:dyDescent="0.3">
      <c r="D16" s="7">
        <v>201</v>
      </c>
      <c r="E16" s="8">
        <v>2</v>
      </c>
      <c r="F16" s="8">
        <v>1.1000000000000001</v>
      </c>
      <c r="G16" s="9">
        <v>2.0299999999999998</v>
      </c>
    </row>
    <row r="17" spans="4:7" x14ac:dyDescent="0.25">
      <c r="D17" s="10">
        <v>202</v>
      </c>
      <c r="E17" s="11">
        <v>1</v>
      </c>
      <c r="F17" s="11">
        <v>1.1000000000000001</v>
      </c>
      <c r="G17" s="12">
        <v>2.02</v>
      </c>
    </row>
    <row r="18" spans="4:7" x14ac:dyDescent="0.25">
      <c r="D18" s="13">
        <v>203</v>
      </c>
      <c r="E18" s="14">
        <v>5</v>
      </c>
      <c r="F18" s="14">
        <v>1.8</v>
      </c>
      <c r="G18" s="15">
        <v>2.5</v>
      </c>
    </row>
    <row r="19" spans="4:7" x14ac:dyDescent="0.25">
      <c r="D19" s="10">
        <v>204</v>
      </c>
      <c r="E19" s="11">
        <v>3</v>
      </c>
      <c r="F19" s="11">
        <v>2.2000000000000002</v>
      </c>
      <c r="G19" s="12">
        <v>2.8</v>
      </c>
    </row>
    <row r="20" spans="4:7" x14ac:dyDescent="0.25">
      <c r="D20" s="13">
        <v>205</v>
      </c>
      <c r="E20" s="14">
        <v>5</v>
      </c>
      <c r="F20" s="14">
        <v>2.8</v>
      </c>
      <c r="G20" s="15">
        <v>2.9</v>
      </c>
    </row>
    <row r="21" spans="4:7" x14ac:dyDescent="0.25">
      <c r="D21" s="10">
        <v>207</v>
      </c>
      <c r="E21" s="11">
        <v>2</v>
      </c>
      <c r="F21" s="11">
        <v>1.9</v>
      </c>
      <c r="G21" s="12">
        <v>2</v>
      </c>
    </row>
    <row r="22" spans="4:7" x14ac:dyDescent="0.25">
      <c r="D22" s="13">
        <v>208</v>
      </c>
      <c r="E22" s="14">
        <v>6</v>
      </c>
      <c r="F22" s="14">
        <v>3.2</v>
      </c>
      <c r="G22" s="15">
        <v>9.6999999999999993</v>
      </c>
    </row>
    <row r="23" spans="4:7" x14ac:dyDescent="0.25">
      <c r="D23" s="10">
        <v>209</v>
      </c>
      <c r="E23" s="11">
        <v>7</v>
      </c>
      <c r="F23" s="11">
        <v>2.9</v>
      </c>
      <c r="G23" s="12">
        <v>9.6999999999999993</v>
      </c>
    </row>
    <row r="32" spans="4:7" ht="15.75" thickBot="1" x14ac:dyDescent="0.3"/>
    <row r="33" spans="4:6" ht="15.75" thickBot="1" x14ac:dyDescent="0.3">
      <c r="D33" s="20" t="s">
        <v>30</v>
      </c>
      <c r="E33" s="20" t="s">
        <v>31</v>
      </c>
      <c r="F33" s="20" t="s">
        <v>32</v>
      </c>
    </row>
    <row r="34" spans="4:6" ht="15.75" thickBot="1" x14ac:dyDescent="0.3">
      <c r="D34" s="21">
        <v>1100</v>
      </c>
      <c r="E34" s="22">
        <v>0</v>
      </c>
      <c r="F34" s="22">
        <v>173</v>
      </c>
    </row>
    <row r="35" spans="4:6" ht="15.75" thickBot="1" x14ac:dyDescent="0.3">
      <c r="D35" s="21">
        <v>1150</v>
      </c>
      <c r="E35" s="22">
        <v>1</v>
      </c>
      <c r="F35" s="22">
        <v>186</v>
      </c>
    </row>
    <row r="36" spans="4:6" ht="15.75" thickBot="1" x14ac:dyDescent="0.3">
      <c r="D36" s="21">
        <v>1400</v>
      </c>
      <c r="E36" s="22">
        <v>0</v>
      </c>
      <c r="F36" s="22">
        <v>187</v>
      </c>
    </row>
    <row r="37" spans="4:6" ht="15.75" thickBot="1" x14ac:dyDescent="0.3">
      <c r="D37" s="21">
        <v>1700</v>
      </c>
      <c r="E37" s="22">
        <v>1</v>
      </c>
      <c r="F37" s="22">
        <v>198</v>
      </c>
    </row>
    <row r="38" spans="4:6" ht="15.75" thickBot="1" x14ac:dyDescent="0.3">
      <c r="D38" s="21">
        <v>1900</v>
      </c>
      <c r="E38" s="22">
        <v>0</v>
      </c>
      <c r="F38" s="22">
        <v>195</v>
      </c>
    </row>
    <row r="39" spans="4:6" ht="15.75" thickBot="1" x14ac:dyDescent="0.3">
      <c r="D39" s="21">
        <v>2100</v>
      </c>
      <c r="E39" s="22">
        <v>2</v>
      </c>
      <c r="F39" s="22">
        <v>225</v>
      </c>
    </row>
    <row r="40" spans="4:6" ht="15.75" thickBot="1" x14ac:dyDescent="0.3">
      <c r="D40" s="21">
        <v>1800</v>
      </c>
      <c r="E40" s="22">
        <v>1</v>
      </c>
      <c r="F40" s="22">
        <v>205</v>
      </c>
    </row>
    <row r="41" spans="4:6" ht="15.75" thickBot="1" x14ac:dyDescent="0.3">
      <c r="D41" s="21">
        <v>1900</v>
      </c>
      <c r="E41" s="22">
        <v>1</v>
      </c>
      <c r="F41" s="22">
        <v>225</v>
      </c>
    </row>
    <row r="42" spans="4:6" ht="15.75" thickBot="1" x14ac:dyDescent="0.3">
      <c r="D42" s="21">
        <v>2100</v>
      </c>
      <c r="E42" s="22">
        <v>2</v>
      </c>
      <c r="F42" s="22">
        <v>237</v>
      </c>
    </row>
    <row r="43" spans="4:6" ht="15.75" thickBot="1" x14ac:dyDescent="0.3">
      <c r="D43" s="21">
        <v>2300</v>
      </c>
      <c r="E43" s="22">
        <v>2</v>
      </c>
      <c r="F43" s="22">
        <v>250</v>
      </c>
    </row>
    <row r="44" spans="4:6" ht="15.75" thickBot="1" x14ac:dyDescent="0.3">
      <c r="D44" s="21">
        <v>1400</v>
      </c>
      <c r="E44" s="22">
        <v>1</v>
      </c>
      <c r="F44" s="22">
        <v>190</v>
      </c>
    </row>
    <row r="45" spans="4:6" ht="15.75" thickBot="1" x14ac:dyDescent="0.3">
      <c r="D45" s="21">
        <v>2200</v>
      </c>
      <c r="E45" s="22">
        <v>2</v>
      </c>
      <c r="F45" s="22">
        <v>245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GABARITO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Demerval Luiz Polizelli</dc:creator>
  <cp:lastModifiedBy>Demerval Luiz Polizelli</cp:lastModifiedBy>
  <dcterms:created xsi:type="dcterms:W3CDTF">2019-08-04T20:40:04Z</dcterms:created>
  <dcterms:modified xsi:type="dcterms:W3CDTF">2019-08-05T16:14:33Z</dcterms:modified>
</cp:coreProperties>
</file>