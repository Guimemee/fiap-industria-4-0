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"/>
    </mc:Choice>
  </mc:AlternateContent>
  <xr:revisionPtr revIDLastSave="0" documentId="13_ncr:1_{2D666625-7692-49C1-A799-5A14369A0775}" xr6:coauthVersionLast="45" xr6:coauthVersionMax="45" xr10:uidLastSave="{00000000-0000-0000-0000-000000000000}"/>
  <bookViews>
    <workbookView xWindow="-120" yWindow="-120" windowWidth="29040" windowHeight="15840" xr2:uid="{48EE2946-3FD5-4C6B-97FD-D730E50B9EC1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7" i="1" l="1"/>
  <c r="I19" i="1"/>
  <c r="I7" i="1"/>
  <c r="I14" i="1"/>
  <c r="I11" i="1"/>
  <c r="I10" i="1"/>
  <c r="I5" i="1"/>
  <c r="B6" i="1"/>
  <c r="A6" i="1"/>
  <c r="B7" i="2"/>
  <c r="A7" i="2"/>
  <c r="H19" i="1"/>
  <c r="H17" i="1"/>
  <c r="H7" i="1"/>
  <c r="H14" i="1"/>
  <c r="H11" i="1"/>
  <c r="H10" i="1"/>
  <c r="H5" i="1"/>
  <c r="B5" i="1"/>
  <c r="A5" i="1"/>
  <c r="B6" i="2"/>
  <c r="A6" i="2"/>
  <c r="G19" i="1"/>
  <c r="G17" i="1"/>
  <c r="G14" i="1"/>
  <c r="G11" i="1"/>
  <c r="G10" i="1"/>
  <c r="G7" i="1"/>
  <c r="G5" i="1"/>
  <c r="F19" i="1"/>
  <c r="F17" i="1"/>
  <c r="F7" i="1"/>
  <c r="F14" i="1"/>
  <c r="F10" i="1"/>
  <c r="F5" i="1"/>
  <c r="B4" i="1"/>
  <c r="A4" i="1"/>
  <c r="D4" i="2"/>
  <c r="E19" i="1"/>
  <c r="E17" i="1"/>
  <c r="E14" i="1"/>
  <c r="E13" i="1"/>
  <c r="E12" i="1"/>
  <c r="E11" i="1"/>
  <c r="E10" i="1"/>
  <c r="E7" i="1"/>
  <c r="E5" i="1"/>
  <c r="B3" i="1"/>
  <c r="A3" i="1"/>
</calcChain>
</file>

<file path=xl/sharedStrings.xml><?xml version="1.0" encoding="utf-8"?>
<sst xmlns="http://schemas.openxmlformats.org/spreadsheetml/2006/main" count="37" uniqueCount="18">
  <si>
    <t>Empresa Contratante</t>
  </si>
  <si>
    <t>Entradas</t>
  </si>
  <si>
    <t>Saídas</t>
  </si>
  <si>
    <t>VPL</t>
  </si>
  <si>
    <t>Margem de cobertura %</t>
  </si>
  <si>
    <t>Total de saídas</t>
  </si>
  <si>
    <t>Total de Entradas</t>
  </si>
  <si>
    <t>Empresa de Consultoria Master</t>
  </si>
  <si>
    <t>Ganhos mensais de Tecnologia</t>
  </si>
  <si>
    <t xml:space="preserve">Reservas  disponívies </t>
  </si>
  <si>
    <t>Emp. de Robótica e Sistemas Automat.</t>
  </si>
  <si>
    <t>Sistemas logísticos e telecom. (IOT)</t>
  </si>
  <si>
    <t>VPL (Entradas Totais - Saídas Totais)</t>
  </si>
  <si>
    <t>MC (VPL/Saídas totais)</t>
  </si>
  <si>
    <t>Empresas/ Entradas - Saídas</t>
  </si>
  <si>
    <t>Composição Empresa contratante</t>
  </si>
  <si>
    <t>Emp. de Serviços de Engenharia de Apoio</t>
  </si>
  <si>
    <t>Emp. de Serv. de Engenh. de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</si>
</sst>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8" formatCode="&quot;R$&quot;\ #,##0.00;[Red]\-&quot;R$&quot;\ #,##0.00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8"/>
      <name val="Calibri"/>
      <family val="2"/>
      <scheme val="minor"/>
    </font>
    <font>
      <sz val="14"/>
      <name val="Calibri"/>
      <family val="2"/>
      <scheme val="minor"/>
    </font>
    <font>
      <sz val="14"/>
      <color theme="4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5" fontId="0" fillId="0" borderId="0" xfId="0" applyNumberFormat="1"/>
    <xf numFmtId="8" fontId="0" fillId="0" borderId="0" xfId="0" applyNumberFormat="1"/>
    <xf numFmtId="8" fontId="1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8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8" fontId="4" fillId="0" borderId="0" xfId="0" applyNumberFormat="1" applyFont="1" applyAlignment="1">
      <alignment horizontal="center"/>
    </xf>
    <xf numFmtId="8" fontId="1" fillId="0" borderId="0" xfId="0" applyNumberFormat="1" applyFont="1" applyAlignment="1">
      <alignment horizontal="center"/>
    </xf>
    <xf numFmtId="6" fontId="3" fillId="0" borderId="0" xfId="0" applyNumberFormat="1" applyFont="1" applyAlignment="1">
      <alignment horizontal="center"/>
    </xf>
    <xf numFmtId="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8" fontId="6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8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83C79-6823-486B-9B58-BF2CA1DCF362}" name="Tabela1" displayName="Tabela1" ref="D3:I19" totalsRowShown="0" headerRowDxfId="0">
  <autoFilter ref="D3:I19" xr:uid="{4DA564AE-28D1-4EA8-ACEE-A65A2789CA0B}"/>
  <tableColumns count="6">
    <tableColumn id="1" xr3:uid="{0BA71CCF-B4BA-472A-9D66-80E7B2BB04BA}" name="Empresas/ Entradas - Saídas" dataDxfId="1"/>
    <tableColumn id="2" xr3:uid="{435FA45A-E47C-4C0C-A702-C560FA38DEAF}" name="Empresa Contratante"/>
    <tableColumn id="3" xr3:uid="{072932F0-5A61-4E92-BFAC-ECB83375C694}" name="Empresa de Consultoria Master"/>
    <tableColumn id="4" xr3:uid="{32CF6D2E-5D62-4CFC-8654-6213CE5C3179}" name="Emp. de Robótica e Sistemas Automat."/>
    <tableColumn id="5" xr3:uid="{6C761C7B-0686-4F0B-A13D-D35E4505894B}" name="Sistemas logísticos e telecom. (IOT)"/>
    <tableColumn id="6" xr3:uid="{CE7A42C6-A774-42E3-8511-F2D81197994C}" name="Emp. de Serv. de Engenh. de Apoio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E8BF-738C-4D1A-A172-DC46158039BA}">
  <dimension ref="A3:I19"/>
  <sheetViews>
    <sheetView tabSelected="1" workbookViewId="0">
      <selection activeCell="I17" sqref="I17"/>
    </sheetView>
  </sheetViews>
  <sheetFormatPr defaultRowHeight="15" x14ac:dyDescent="0.25"/>
  <cols>
    <col min="4" max="4" width="35.7109375" customWidth="1"/>
    <col min="5" max="5" width="36.7109375" customWidth="1"/>
    <col min="6" max="6" width="37.5703125" customWidth="1"/>
    <col min="7" max="7" width="45.140625" customWidth="1"/>
    <col min="8" max="8" width="43.85546875" customWidth="1"/>
    <col min="9" max="9" width="41.140625" customWidth="1"/>
  </cols>
  <sheetData>
    <row r="3" spans="1:9" ht="18.75" x14ac:dyDescent="0.3">
      <c r="A3">
        <f>1.2175^(1/12)</f>
        <v>1.0165351822616637</v>
      </c>
      <c r="B3" s="1">
        <f>(A3-1)*100</f>
        <v>1.6535182261663728</v>
      </c>
      <c r="D3" t="s">
        <v>14</v>
      </c>
      <c r="E3" s="12" t="s">
        <v>0</v>
      </c>
      <c r="F3" s="12" t="s">
        <v>7</v>
      </c>
      <c r="G3" s="12" t="s">
        <v>10</v>
      </c>
      <c r="H3" s="7" t="s">
        <v>11</v>
      </c>
      <c r="I3" s="7" t="s">
        <v>17</v>
      </c>
    </row>
    <row r="4" spans="1:9" ht="18.75" x14ac:dyDescent="0.3">
      <c r="A4">
        <f>1.22^(1/12)</f>
        <v>1.0167089638731281</v>
      </c>
      <c r="B4" s="1">
        <f>(A4-1)*100</f>
        <v>1.6708963873128146</v>
      </c>
      <c r="D4" t="s">
        <v>15</v>
      </c>
      <c r="E4" s="12" t="s">
        <v>1</v>
      </c>
      <c r="F4" s="12" t="s">
        <v>1</v>
      </c>
      <c r="G4" s="12" t="s">
        <v>1</v>
      </c>
      <c r="H4" s="12" t="s">
        <v>1</v>
      </c>
      <c r="I4" s="12" t="s">
        <v>1</v>
      </c>
    </row>
    <row r="5" spans="1:9" ht="18.75" x14ac:dyDescent="0.3">
      <c r="A5">
        <f>1.215^(1/12)</f>
        <v>1.0163610732374868</v>
      </c>
      <c r="B5" s="1">
        <f>(A5-1)*100</f>
        <v>1.6361073237486812</v>
      </c>
      <c r="D5" t="s">
        <v>8</v>
      </c>
      <c r="E5" s="3">
        <f>PV(1.6535%,24,-39995970)</f>
        <v>787033303.33996761</v>
      </c>
      <c r="F5" s="9">
        <f>PV(1.6709%,24,-1835000)</f>
        <v>36036479.900011979</v>
      </c>
      <c r="G5" s="9">
        <f>PV(1.6709%,24,-11950000)</f>
        <v>234678983.54503718</v>
      </c>
      <c r="H5" s="3">
        <f>PV(1.6361%,24,-11550000)</f>
        <v>227735217.9947353</v>
      </c>
      <c r="I5" s="9">
        <f>PV(1.8258%,24,-299000)</f>
        <v>5768467.600237146</v>
      </c>
    </row>
    <row r="6" spans="1:9" ht="18.75" x14ac:dyDescent="0.3">
      <c r="A6">
        <f>1.2425^(1/12)</f>
        <v>1.0182584742878391</v>
      </c>
      <c r="B6" s="1">
        <f>(A6-1)*100</f>
        <v>1.825847428783911</v>
      </c>
      <c r="D6" t="s">
        <v>9</v>
      </c>
      <c r="E6" s="4">
        <v>11420000</v>
      </c>
      <c r="F6" s="6"/>
      <c r="G6" s="6"/>
      <c r="H6" s="12"/>
      <c r="I6" s="12"/>
    </row>
    <row r="7" spans="1:9" ht="18.75" x14ac:dyDescent="0.3">
      <c r="D7" t="s">
        <v>6</v>
      </c>
      <c r="E7" s="8">
        <f>SUM(E5:E6)</f>
        <v>798453303.33996761</v>
      </c>
      <c r="F7" s="8">
        <f>PV(1.6709%,24,-1835000)</f>
        <v>36036479.900011979</v>
      </c>
      <c r="G7" s="8">
        <f>PV(1.6709%,24,-11950000)</f>
        <v>234678983.54503718</v>
      </c>
      <c r="H7" s="14">
        <f>PV(1.6361%,24,-11550000)</f>
        <v>227735217.9947353</v>
      </c>
      <c r="I7" s="9">
        <f>PV(1.8258%,24,-299000)</f>
        <v>5768467.600237146</v>
      </c>
    </row>
    <row r="8" spans="1:9" ht="18.75" x14ac:dyDescent="0.3">
      <c r="E8" s="6"/>
      <c r="F8" s="6"/>
      <c r="G8" s="6"/>
      <c r="H8" s="12"/>
      <c r="I8" s="12"/>
    </row>
    <row r="9" spans="1:9" ht="18.75" x14ac:dyDescent="0.3">
      <c r="E9" s="12" t="s">
        <v>2</v>
      </c>
      <c r="F9" s="12" t="s">
        <v>2</v>
      </c>
      <c r="G9" s="12" t="s">
        <v>2</v>
      </c>
      <c r="H9" s="12" t="s">
        <v>2</v>
      </c>
      <c r="I9" s="12" t="s">
        <v>2</v>
      </c>
    </row>
    <row r="10" spans="1:9" ht="18.75" x14ac:dyDescent="0.3">
      <c r="D10" t="s">
        <v>7</v>
      </c>
      <c r="E10" s="5">
        <f>PV(1.6535%,24,-1835000)</f>
        <v>36108790.75138922</v>
      </c>
      <c r="F10" s="5">
        <f>PV(1.6709%,24,-765000)</f>
        <v>15023382.628615348</v>
      </c>
      <c r="G10" s="3">
        <f>PV(1.6709%,12,-3920000)</f>
        <v>42305740.377423815</v>
      </c>
      <c r="H10" s="5">
        <f>PV(1.6361%,12,-425000)</f>
        <v>4596629.719993839</v>
      </c>
      <c r="I10" s="5">
        <f>PV(1.8258%,12,-225000)</f>
        <v>2405108.3753549466</v>
      </c>
    </row>
    <row r="11" spans="1:9" ht="18.75" x14ac:dyDescent="0.3">
      <c r="D11" t="s">
        <v>10</v>
      </c>
      <c r="E11" s="5">
        <f>PV(1.6535%,24,-11950000)</f>
        <v>235149890.72430578</v>
      </c>
      <c r="F11" s="10">
        <v>3000000</v>
      </c>
      <c r="G11" s="11">
        <f>PV(1.15%,24,-8400000)</f>
        <v>175297806.86003673</v>
      </c>
      <c r="H11" s="5">
        <f>PV(1.05%,24,-8000000)</f>
        <v>168939762.20828146</v>
      </c>
      <c r="I11" s="5">
        <f>PV(1.8258%,24,-105000)</f>
        <v>2025716.046906021</v>
      </c>
    </row>
    <row r="12" spans="1:9" ht="18.75" x14ac:dyDescent="0.3">
      <c r="D12" s="17" t="s">
        <v>11</v>
      </c>
      <c r="E12" s="5">
        <f>PV(1.6535%,24,-11550000)</f>
        <v>227278764.67495668</v>
      </c>
      <c r="F12" s="12"/>
      <c r="G12" s="12"/>
      <c r="H12" s="12"/>
      <c r="I12" s="12"/>
    </row>
    <row r="13" spans="1:9" ht="18.75" x14ac:dyDescent="0.3">
      <c r="D13" s="17" t="s">
        <v>16</v>
      </c>
      <c r="E13" s="5">
        <f>PV(1.6535%,24,-299000)</f>
        <v>5883666.7218884891</v>
      </c>
      <c r="F13" s="12"/>
      <c r="G13" s="12"/>
      <c r="H13" s="12"/>
      <c r="I13" s="12"/>
    </row>
    <row r="14" spans="1:9" ht="18.75" x14ac:dyDescent="0.3">
      <c r="D14" s="16" t="s">
        <v>5</v>
      </c>
      <c r="E14" s="8">
        <f>SUM(E10:E13)</f>
        <v>504421112.87254018</v>
      </c>
      <c r="F14" s="8">
        <f>SUM(F10:F11)</f>
        <v>18023382.62861535</v>
      </c>
      <c r="G14" s="8">
        <f>SUM(G10:G11)</f>
        <v>217603547.23746055</v>
      </c>
      <c r="H14" s="8">
        <f>SUM(H10:H11)</f>
        <v>173536391.92827529</v>
      </c>
      <c r="I14" s="8">
        <f>SUM(I10:I11)</f>
        <v>4430824.422260968</v>
      </c>
    </row>
    <row r="15" spans="1:9" ht="18.75" x14ac:dyDescent="0.3">
      <c r="E15" s="12"/>
      <c r="F15" s="6"/>
      <c r="G15" s="12"/>
      <c r="H15" s="12"/>
      <c r="I15" s="12"/>
    </row>
    <row r="16" spans="1:9" ht="18.75" x14ac:dyDescent="0.3">
      <c r="D16" s="18"/>
      <c r="E16" s="16" t="s">
        <v>3</v>
      </c>
      <c r="F16" s="16" t="s">
        <v>3</v>
      </c>
      <c r="G16" s="16" t="s">
        <v>3</v>
      </c>
      <c r="H16" s="16" t="s">
        <v>3</v>
      </c>
      <c r="I16" s="16" t="s">
        <v>3</v>
      </c>
    </row>
    <row r="17" spans="4:9" ht="18.75" x14ac:dyDescent="0.3">
      <c r="D17" s="18" t="s">
        <v>12</v>
      </c>
      <c r="E17" s="5">
        <f>E7-E14</f>
        <v>294032190.46742743</v>
      </c>
      <c r="F17" s="5">
        <f>F7-F14</f>
        <v>18013097.27139663</v>
      </c>
      <c r="G17" s="5">
        <f>G7-G14</f>
        <v>17075436.307576627</v>
      </c>
      <c r="H17" s="5">
        <f>H7-H14</f>
        <v>54198826.066460013</v>
      </c>
      <c r="I17" s="5">
        <f>I7-I14</f>
        <v>1337643.177976178</v>
      </c>
    </row>
    <row r="18" spans="4:9" ht="18.75" x14ac:dyDescent="0.3">
      <c r="E18" s="12" t="s">
        <v>4</v>
      </c>
      <c r="F18" s="12" t="s">
        <v>4</v>
      </c>
      <c r="G18" s="13" t="s">
        <v>4</v>
      </c>
      <c r="H18" s="13" t="s">
        <v>4</v>
      </c>
      <c r="I18" s="13" t="s">
        <v>4</v>
      </c>
    </row>
    <row r="19" spans="4:9" ht="18.75" x14ac:dyDescent="0.3">
      <c r="D19" s="18" t="s">
        <v>13</v>
      </c>
      <c r="E19" s="15">
        <f>(E17/E14)*100</f>
        <v>58.291015773109613</v>
      </c>
      <c r="F19" s="15">
        <f>(F17/F14)*100</f>
        <v>99.942933258253134</v>
      </c>
      <c r="G19" s="15">
        <f>(G17/G14)*100</f>
        <v>7.8470395011267913</v>
      </c>
      <c r="H19" s="15">
        <f>(H17/H14)*100</f>
        <v>31.231965505460696</v>
      </c>
      <c r="I19" s="15">
        <f>(I17/I14)*100</f>
        <v>30.189487339098925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CF53-51AD-423A-BBC3-E5AC9EE44C9D}">
  <dimension ref="A4:D7"/>
  <sheetViews>
    <sheetView workbookViewId="0">
      <selection activeCell="B7" sqref="B7"/>
    </sheetView>
  </sheetViews>
  <sheetFormatPr defaultRowHeight="15" x14ac:dyDescent="0.25"/>
  <cols>
    <col min="4" max="4" width="16.42578125" bestFit="1" customWidth="1"/>
  </cols>
  <sheetData>
    <row r="4" spans="1:4" x14ac:dyDescent="0.25">
      <c r="D4" s="2">
        <f>PV(1.016535%,24,-39995970)</f>
        <v>847979728.46608174</v>
      </c>
    </row>
    <row r="6" spans="1:4" x14ac:dyDescent="0.25">
      <c r="A6">
        <f>1.0115^12</f>
        <v>1.1470719115389156</v>
      </c>
      <c r="B6" s="1">
        <f>(A6-1)*100</f>
        <v>14.707191153891564</v>
      </c>
    </row>
    <row r="7" spans="1:4" x14ac:dyDescent="0.25">
      <c r="A7">
        <f>1.0105^12</f>
        <v>1.1335372965869035</v>
      </c>
      <c r="B7" s="1">
        <f>(A7-1)*100</f>
        <v>13.35372965869035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2019-10-29T16:49:41Z</dcterms:created>
  <dcterms:modified xsi:type="dcterms:W3CDTF">2019-10-29T20:26:19Z</dcterms:modified>
</cp:coreProperties>
</file>