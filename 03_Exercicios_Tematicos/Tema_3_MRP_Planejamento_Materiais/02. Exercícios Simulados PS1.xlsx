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8_{A45D893F-3483-4B41-A12F-6B0C8189A5DA}" xr6:coauthVersionLast="43" xr6:coauthVersionMax="43" xr10:uidLastSave="{00000000-0000-0000-0000-000000000000}"/>
  <bookViews>
    <workbookView xWindow="-120" yWindow="-120" windowWidth="29040" windowHeight="15840" activeTab="5" xr2:uid="{908DF842-5021-47CA-AF29-8BE24C1D2CAF}"/>
  </bookViews>
  <sheets>
    <sheet name="Exercício 1 " sheetId="1" r:id="rId1"/>
    <sheet name="Gabarito Exercício 1" sheetId="2" r:id="rId2"/>
    <sheet name="Exercício 2" sheetId="4" r:id="rId3"/>
    <sheet name="Gabarito Exercício 2" sheetId="5" r:id="rId4"/>
    <sheet name="Exercício 3" sheetId="6" r:id="rId5"/>
    <sheet name="Gabarito Exercício 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2" i="7" l="1"/>
  <c r="I49" i="7"/>
  <c r="I47" i="7"/>
  <c r="I45" i="7"/>
</calcChain>
</file>

<file path=xl/sharedStrings.xml><?xml version="1.0" encoding="utf-8"?>
<sst xmlns="http://schemas.openxmlformats.org/spreadsheetml/2006/main" count="16" uniqueCount="6">
  <si>
    <t>Licenciamento de caminhões</t>
  </si>
  <si>
    <t>Produção de caminhões</t>
  </si>
  <si>
    <t>Tempo (meses)</t>
  </si>
  <si>
    <t>Produção de tratores</t>
  </si>
  <si>
    <t>Licenciamento de tratores</t>
  </si>
  <si>
    <t>Média de indicadores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</si>
</sst>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([$€-2]* #,##0.00_);_([$€-2]* \(#,##0.00\);_([$€-2]* &quot;-&quot;??_)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theme="7"/>
      </patternFill>
    </fill>
  </fills>
  <borders count="3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0" fontId="2" fillId="0" borderId="0"/>
    <xf numFmtId="172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</cellXfs>
  <cellStyles count="3">
    <cellStyle name="Euro" xfId="2" xr:uid="{8D9DF7B3-2A2B-4898-9B75-E8480EE326B0}"/>
    <cellStyle name="Normal" xfId="0" builtinId="0"/>
    <cellStyle name="Normal 2" xfId="1" xr:uid="{73963884-9478-4803-8206-BFB469D9F35F}"/>
  </cellStyles>
  <dxfs count="16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outline="0">
        <right style="thin">
          <color theme="7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7"/>
        </top>
        <bottom/>
        <vertical/>
        <horizontal/>
      </border>
    </dxf>
    <dxf>
      <border outline="0">
        <right style="thin">
          <color theme="7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Produção</a:t>
            </a:r>
            <a:r>
              <a:rPr lang="en-US" baseline="0"/>
              <a:t> </a:t>
            </a:r>
            <a:r>
              <a:rPr lang="en-US"/>
              <a:t>de caminhões em função de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Vendas de caminhões em função de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5851100876833374E-2"/>
                  <c:y val="-0.128360610330672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4.1910195784126379E-2"/>
                  <c:y val="0.28987040743850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0259787563667049"/>
                  <c:y val="0.38587488968485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2432130616834413"/>
                  <c:y val="-4.899667813482278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1'!$C$8:$C$47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'Gabarito Exercício 1'!$D$8:$D$47</c:f>
              <c:numCache>
                <c:formatCode>General</c:formatCode>
                <c:ptCount val="40"/>
                <c:pt idx="0">
                  <c:v>4158</c:v>
                </c:pt>
                <c:pt idx="1">
                  <c:v>5317</c:v>
                </c:pt>
                <c:pt idx="2">
                  <c:v>5616</c:v>
                </c:pt>
                <c:pt idx="3">
                  <c:v>5197</c:v>
                </c:pt>
                <c:pt idx="4">
                  <c:v>5332</c:v>
                </c:pt>
                <c:pt idx="5">
                  <c:v>5570</c:v>
                </c:pt>
                <c:pt idx="6">
                  <c:v>5091</c:v>
                </c:pt>
                <c:pt idx="7">
                  <c:v>5211</c:v>
                </c:pt>
                <c:pt idx="8">
                  <c:v>4846</c:v>
                </c:pt>
                <c:pt idx="9">
                  <c:v>4635</c:v>
                </c:pt>
                <c:pt idx="10">
                  <c:v>5362</c:v>
                </c:pt>
                <c:pt idx="11">
                  <c:v>4102</c:v>
                </c:pt>
                <c:pt idx="12">
                  <c:v>4482</c:v>
                </c:pt>
                <c:pt idx="13">
                  <c:v>5314</c:v>
                </c:pt>
                <c:pt idx="14">
                  <c:v>5952</c:v>
                </c:pt>
                <c:pt idx="15">
                  <c:v>5900</c:v>
                </c:pt>
                <c:pt idx="16">
                  <c:v>7576</c:v>
                </c:pt>
                <c:pt idx="17">
                  <c:v>6797</c:v>
                </c:pt>
                <c:pt idx="18">
                  <c:v>7093</c:v>
                </c:pt>
                <c:pt idx="19">
                  <c:v>8488</c:v>
                </c:pt>
                <c:pt idx="20">
                  <c:v>7599</c:v>
                </c:pt>
                <c:pt idx="21">
                  <c:v>8241</c:v>
                </c:pt>
                <c:pt idx="22">
                  <c:v>8166</c:v>
                </c:pt>
                <c:pt idx="23">
                  <c:v>7436</c:v>
                </c:pt>
                <c:pt idx="24">
                  <c:v>6707</c:v>
                </c:pt>
                <c:pt idx="25">
                  <c:v>7780</c:v>
                </c:pt>
                <c:pt idx="26">
                  <c:v>9947</c:v>
                </c:pt>
                <c:pt idx="27">
                  <c:v>9095</c:v>
                </c:pt>
                <c:pt idx="28">
                  <c:v>7423</c:v>
                </c:pt>
                <c:pt idx="29">
                  <c:v>8635</c:v>
                </c:pt>
                <c:pt idx="30">
                  <c:v>8855</c:v>
                </c:pt>
                <c:pt idx="31">
                  <c:v>9697</c:v>
                </c:pt>
                <c:pt idx="32">
                  <c:v>9115</c:v>
                </c:pt>
                <c:pt idx="33">
                  <c:v>10858</c:v>
                </c:pt>
                <c:pt idx="34">
                  <c:v>10043</c:v>
                </c:pt>
                <c:pt idx="35">
                  <c:v>7379</c:v>
                </c:pt>
                <c:pt idx="36">
                  <c:v>6811</c:v>
                </c:pt>
                <c:pt idx="37">
                  <c:v>9631</c:v>
                </c:pt>
                <c:pt idx="38">
                  <c:v>8319</c:v>
                </c:pt>
                <c:pt idx="39">
                  <c:v>9412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A-411A-9081-2A37126B7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752248"/>
        <c:axId val="460752904"/>
      </c:scatterChart>
      <c:valAx>
        <c:axId val="46075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752904"/>
        <c:crosses val="autoZero"/>
        <c:crossBetween val="midCat"/>
      </c:valAx>
      <c:valAx>
        <c:axId val="460752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075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Licenciamento de caminhões em função do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806002510555747E-2"/>
                  <c:y val="-0.147667340148443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0153676442618584E-2"/>
                  <c:y val="0.30613817331327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858462474799346"/>
                  <c:y val="0.396485686025161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3232926318992735"/>
                  <c:y val="-7.39353016001623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1'!$C$8:$C$47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'Gabarito Exercício 1'!$E$8:$E$47</c:f>
              <c:numCache>
                <c:formatCode>General</c:formatCode>
                <c:ptCount val="40"/>
                <c:pt idx="0">
                  <c:v>4266</c:v>
                </c:pt>
                <c:pt idx="1">
                  <c:v>3683</c:v>
                </c:pt>
                <c:pt idx="2">
                  <c:v>4690</c:v>
                </c:pt>
                <c:pt idx="3">
                  <c:v>4098</c:v>
                </c:pt>
                <c:pt idx="4">
                  <c:v>3923</c:v>
                </c:pt>
                <c:pt idx="5">
                  <c:v>4038</c:v>
                </c:pt>
                <c:pt idx="6">
                  <c:v>4492</c:v>
                </c:pt>
                <c:pt idx="7">
                  <c:v>4238</c:v>
                </c:pt>
                <c:pt idx="8">
                  <c:v>4068</c:v>
                </c:pt>
                <c:pt idx="9">
                  <c:v>3324</c:v>
                </c:pt>
                <c:pt idx="10">
                  <c:v>3658</c:v>
                </c:pt>
                <c:pt idx="11">
                  <c:v>4276</c:v>
                </c:pt>
                <c:pt idx="12">
                  <c:v>2847</c:v>
                </c:pt>
                <c:pt idx="13">
                  <c:v>2504</c:v>
                </c:pt>
                <c:pt idx="14">
                  <c:v>3291</c:v>
                </c:pt>
                <c:pt idx="15">
                  <c:v>3338</c:v>
                </c:pt>
                <c:pt idx="16">
                  <c:v>3953</c:v>
                </c:pt>
                <c:pt idx="17">
                  <c:v>4074</c:v>
                </c:pt>
                <c:pt idx="18">
                  <c:v>4397</c:v>
                </c:pt>
                <c:pt idx="19">
                  <c:v>4660</c:v>
                </c:pt>
                <c:pt idx="20">
                  <c:v>4397</c:v>
                </c:pt>
                <c:pt idx="21">
                  <c:v>4892</c:v>
                </c:pt>
                <c:pt idx="22">
                  <c:v>5264</c:v>
                </c:pt>
                <c:pt idx="23">
                  <c:v>5915</c:v>
                </c:pt>
                <c:pt idx="24">
                  <c:v>4447</c:v>
                </c:pt>
                <c:pt idx="25">
                  <c:v>3952</c:v>
                </c:pt>
                <c:pt idx="26">
                  <c:v>5829</c:v>
                </c:pt>
                <c:pt idx="27">
                  <c:v>6037</c:v>
                </c:pt>
                <c:pt idx="28">
                  <c:v>5475</c:v>
                </c:pt>
                <c:pt idx="29">
                  <c:v>5560</c:v>
                </c:pt>
                <c:pt idx="30">
                  <c:v>6454</c:v>
                </c:pt>
                <c:pt idx="31">
                  <c:v>7269</c:v>
                </c:pt>
                <c:pt idx="32">
                  <c:v>6524</c:v>
                </c:pt>
                <c:pt idx="33">
                  <c:v>7660</c:v>
                </c:pt>
                <c:pt idx="34">
                  <c:v>7451</c:v>
                </c:pt>
                <c:pt idx="35">
                  <c:v>7403</c:v>
                </c:pt>
                <c:pt idx="36">
                  <c:v>6740</c:v>
                </c:pt>
                <c:pt idx="37">
                  <c:v>6626</c:v>
                </c:pt>
                <c:pt idx="38">
                  <c:v>7366</c:v>
                </c:pt>
                <c:pt idx="39">
                  <c:v>8211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D-4C78-ABA6-8691B5A9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824528"/>
        <c:axId val="464827152"/>
      </c:scatterChart>
      <c:valAx>
        <c:axId val="46482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4827152"/>
        <c:crosses val="autoZero"/>
        <c:crossBetween val="midCat"/>
      </c:valAx>
      <c:valAx>
        <c:axId val="46482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482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Licenciamento em função de produção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987798621489595E-2"/>
                  <c:y val="-0.105339396646597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7554296506137868E-2"/>
                  <c:y val="0.406911958672649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1272898961284232"/>
                  <c:y val="-6.252697644603166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2227565746916194"/>
                  <c:y val="0.516894882064439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1'!$D$8:$D$47</c:f>
              <c:numCache>
                <c:formatCode>General</c:formatCode>
                <c:ptCount val="40"/>
                <c:pt idx="0">
                  <c:v>4158</c:v>
                </c:pt>
                <c:pt idx="1">
                  <c:v>5317</c:v>
                </c:pt>
                <c:pt idx="2">
                  <c:v>5616</c:v>
                </c:pt>
                <c:pt idx="3">
                  <c:v>5197</c:v>
                </c:pt>
                <c:pt idx="4">
                  <c:v>5332</c:v>
                </c:pt>
                <c:pt idx="5">
                  <c:v>5570</c:v>
                </c:pt>
                <c:pt idx="6">
                  <c:v>5091</c:v>
                </c:pt>
                <c:pt idx="7">
                  <c:v>5211</c:v>
                </c:pt>
                <c:pt idx="8">
                  <c:v>4846</c:v>
                </c:pt>
                <c:pt idx="9">
                  <c:v>4635</c:v>
                </c:pt>
                <c:pt idx="10">
                  <c:v>5362</c:v>
                </c:pt>
                <c:pt idx="11">
                  <c:v>4102</c:v>
                </c:pt>
                <c:pt idx="12">
                  <c:v>4482</c:v>
                </c:pt>
                <c:pt idx="13">
                  <c:v>5314</c:v>
                </c:pt>
                <c:pt idx="14">
                  <c:v>5952</c:v>
                </c:pt>
                <c:pt idx="15">
                  <c:v>5900</c:v>
                </c:pt>
                <c:pt idx="16">
                  <c:v>7576</c:v>
                </c:pt>
                <c:pt idx="17">
                  <c:v>6797</c:v>
                </c:pt>
                <c:pt idx="18">
                  <c:v>7093</c:v>
                </c:pt>
                <c:pt idx="19">
                  <c:v>8488</c:v>
                </c:pt>
                <c:pt idx="20">
                  <c:v>7599</c:v>
                </c:pt>
                <c:pt idx="21">
                  <c:v>8241</c:v>
                </c:pt>
                <c:pt idx="22">
                  <c:v>8166</c:v>
                </c:pt>
                <c:pt idx="23">
                  <c:v>7436</c:v>
                </c:pt>
                <c:pt idx="24">
                  <c:v>6707</c:v>
                </c:pt>
                <c:pt idx="25">
                  <c:v>7780</c:v>
                </c:pt>
                <c:pt idx="26">
                  <c:v>9947</c:v>
                </c:pt>
                <c:pt idx="27">
                  <c:v>9095</c:v>
                </c:pt>
                <c:pt idx="28">
                  <c:v>7423</c:v>
                </c:pt>
                <c:pt idx="29">
                  <c:v>8635</c:v>
                </c:pt>
                <c:pt idx="30">
                  <c:v>8855</c:v>
                </c:pt>
                <c:pt idx="31">
                  <c:v>9697</c:v>
                </c:pt>
                <c:pt idx="32">
                  <c:v>9115</c:v>
                </c:pt>
                <c:pt idx="33">
                  <c:v>10858</c:v>
                </c:pt>
                <c:pt idx="34">
                  <c:v>10043</c:v>
                </c:pt>
                <c:pt idx="35">
                  <c:v>7379</c:v>
                </c:pt>
                <c:pt idx="36">
                  <c:v>6811</c:v>
                </c:pt>
                <c:pt idx="37">
                  <c:v>9631</c:v>
                </c:pt>
                <c:pt idx="38">
                  <c:v>8319</c:v>
                </c:pt>
                <c:pt idx="39">
                  <c:v>9412</c:v>
                </c:pt>
              </c:numCache>
            </c:numRef>
          </c:xVal>
          <c:yVal>
            <c:numRef>
              <c:f>'Gabarito Exercício 1'!$E$8:$E$47</c:f>
              <c:numCache>
                <c:formatCode>General</c:formatCode>
                <c:ptCount val="40"/>
                <c:pt idx="0">
                  <c:v>4266</c:v>
                </c:pt>
                <c:pt idx="1">
                  <c:v>3683</c:v>
                </c:pt>
                <c:pt idx="2">
                  <c:v>4690</c:v>
                </c:pt>
                <c:pt idx="3">
                  <c:v>4098</c:v>
                </c:pt>
                <c:pt idx="4">
                  <c:v>3923</c:v>
                </c:pt>
                <c:pt idx="5">
                  <c:v>4038</c:v>
                </c:pt>
                <c:pt idx="6">
                  <c:v>4492</c:v>
                </c:pt>
                <c:pt idx="7">
                  <c:v>4238</c:v>
                </c:pt>
                <c:pt idx="8">
                  <c:v>4068</c:v>
                </c:pt>
                <c:pt idx="9">
                  <c:v>3324</c:v>
                </c:pt>
                <c:pt idx="10">
                  <c:v>3658</c:v>
                </c:pt>
                <c:pt idx="11">
                  <c:v>4276</c:v>
                </c:pt>
                <c:pt idx="12">
                  <c:v>2847</c:v>
                </c:pt>
                <c:pt idx="13">
                  <c:v>2504</c:v>
                </c:pt>
                <c:pt idx="14">
                  <c:v>3291</c:v>
                </c:pt>
                <c:pt idx="15">
                  <c:v>3338</c:v>
                </c:pt>
                <c:pt idx="16">
                  <c:v>3953</c:v>
                </c:pt>
                <c:pt idx="17">
                  <c:v>4074</c:v>
                </c:pt>
                <c:pt idx="18">
                  <c:v>4397</c:v>
                </c:pt>
                <c:pt idx="19">
                  <c:v>4660</c:v>
                </c:pt>
                <c:pt idx="20">
                  <c:v>4397</c:v>
                </c:pt>
                <c:pt idx="21">
                  <c:v>4892</c:v>
                </c:pt>
                <c:pt idx="22">
                  <c:v>5264</c:v>
                </c:pt>
                <c:pt idx="23">
                  <c:v>5915</c:v>
                </c:pt>
                <c:pt idx="24">
                  <c:v>4447</c:v>
                </c:pt>
                <c:pt idx="25">
                  <c:v>3952</c:v>
                </c:pt>
                <c:pt idx="26">
                  <c:v>5829</c:v>
                </c:pt>
                <c:pt idx="27">
                  <c:v>6037</c:v>
                </c:pt>
                <c:pt idx="28">
                  <c:v>5475</c:v>
                </c:pt>
                <c:pt idx="29">
                  <c:v>5560</c:v>
                </c:pt>
                <c:pt idx="30">
                  <c:v>6454</c:v>
                </c:pt>
                <c:pt idx="31">
                  <c:v>7269</c:v>
                </c:pt>
                <c:pt idx="32">
                  <c:v>6524</c:v>
                </c:pt>
                <c:pt idx="33">
                  <c:v>7660</c:v>
                </c:pt>
                <c:pt idx="34">
                  <c:v>7451</c:v>
                </c:pt>
                <c:pt idx="35">
                  <c:v>7403</c:v>
                </c:pt>
                <c:pt idx="36">
                  <c:v>6740</c:v>
                </c:pt>
                <c:pt idx="37">
                  <c:v>6626</c:v>
                </c:pt>
                <c:pt idx="38">
                  <c:v>7366</c:v>
                </c:pt>
                <c:pt idx="39">
                  <c:v>8211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33-43A2-95B7-257FB55C7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929056"/>
        <c:axId val="601930696"/>
      </c:scatterChart>
      <c:valAx>
        <c:axId val="60192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930696"/>
        <c:crosses val="autoZero"/>
        <c:crossBetween val="midCat"/>
      </c:valAx>
      <c:valAx>
        <c:axId val="601930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92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Produção de tratores em função de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8000428517863837E-2"/>
                  <c:y val="-0.27780825177186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212999395483728"/>
                  <c:y val="-0.252961359846183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6.4676660315419757E-2"/>
                  <c:y val="0.251910244509872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0871482901372023"/>
                  <c:y val="0.336798048366265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2'!$C$9:$C$48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38</c:v>
                </c:pt>
                <c:pt idx="39">
                  <c:v>40</c:v>
                </c:pt>
              </c:numCache>
            </c:numRef>
          </c:xVal>
          <c:yVal>
            <c:numRef>
              <c:f>'Gabarito Exercício 2'!$D$9:$D$48</c:f>
              <c:numCache>
                <c:formatCode>General</c:formatCode>
                <c:ptCount val="40"/>
                <c:pt idx="0">
                  <c:v>1097</c:v>
                </c:pt>
                <c:pt idx="1">
                  <c:v>2387</c:v>
                </c:pt>
                <c:pt idx="2">
                  <c:v>1998</c:v>
                </c:pt>
                <c:pt idx="3">
                  <c:v>3271</c:v>
                </c:pt>
                <c:pt idx="4">
                  <c:v>3380</c:v>
                </c:pt>
                <c:pt idx="5">
                  <c:v>3768</c:v>
                </c:pt>
                <c:pt idx="6">
                  <c:v>4182</c:v>
                </c:pt>
                <c:pt idx="7">
                  <c:v>4904</c:v>
                </c:pt>
                <c:pt idx="8">
                  <c:v>4169</c:v>
                </c:pt>
                <c:pt idx="9">
                  <c:v>5190</c:v>
                </c:pt>
                <c:pt idx="10">
                  <c:v>4518</c:v>
                </c:pt>
                <c:pt idx="11">
                  <c:v>4578</c:v>
                </c:pt>
                <c:pt idx="12">
                  <c:v>1568</c:v>
                </c:pt>
                <c:pt idx="13">
                  <c:v>3329</c:v>
                </c:pt>
                <c:pt idx="14">
                  <c:v>4366</c:v>
                </c:pt>
                <c:pt idx="15">
                  <c:v>4120</c:v>
                </c:pt>
                <c:pt idx="16">
                  <c:v>4711</c:v>
                </c:pt>
                <c:pt idx="17">
                  <c:v>4323</c:v>
                </c:pt>
                <c:pt idx="18">
                  <c:v>4467</c:v>
                </c:pt>
                <c:pt idx="19">
                  <c:v>3875</c:v>
                </c:pt>
                <c:pt idx="20">
                  <c:v>3101</c:v>
                </c:pt>
                <c:pt idx="21">
                  <c:v>2990</c:v>
                </c:pt>
                <c:pt idx="22">
                  <c:v>2679</c:v>
                </c:pt>
                <c:pt idx="23">
                  <c:v>1564</c:v>
                </c:pt>
                <c:pt idx="24">
                  <c:v>1683</c:v>
                </c:pt>
                <c:pt idx="25">
                  <c:v>2727</c:v>
                </c:pt>
                <c:pt idx="26">
                  <c:v>4100</c:v>
                </c:pt>
                <c:pt idx="27">
                  <c:v>3821</c:v>
                </c:pt>
                <c:pt idx="28">
                  <c:v>3499</c:v>
                </c:pt>
                <c:pt idx="29">
                  <c:v>4002</c:v>
                </c:pt>
                <c:pt idx="30">
                  <c:v>5223</c:v>
                </c:pt>
                <c:pt idx="31">
                  <c:v>5279</c:v>
                </c:pt>
                <c:pt idx="32">
                  <c:v>4285</c:v>
                </c:pt>
                <c:pt idx="33">
                  <c:v>5874</c:v>
                </c:pt>
                <c:pt idx="34">
                  <c:v>5013</c:v>
                </c:pt>
                <c:pt idx="35">
                  <c:v>4345</c:v>
                </c:pt>
                <c:pt idx="36">
                  <c:v>1638</c:v>
                </c:pt>
                <c:pt idx="37">
                  <c:v>1906</c:v>
                </c:pt>
                <c:pt idx="38">
                  <c:v>2914</c:v>
                </c:pt>
                <c:pt idx="39">
                  <c:v>3062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C0-4AE7-8BA9-CDDE350ACF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5267664"/>
        <c:axId val="645268320"/>
      </c:scatterChart>
      <c:valAx>
        <c:axId val="645267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5268320"/>
        <c:crosses val="autoZero"/>
        <c:crossBetween val="midCat"/>
      </c:valAx>
      <c:valAx>
        <c:axId val="64526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5267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Licencimanto de tratores em função do tempo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5405868479704018E-2"/>
                  <c:y val="-0.242800450834454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9.8979825181150151E-5"/>
                  <c:y val="0.223533244705286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46098331336671344"/>
                  <c:y val="-0.19637540330131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50991265883702119"/>
                  <c:y val="0.337125730081968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2'!$C$9:$C$48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38</c:v>
                </c:pt>
                <c:pt idx="39">
                  <c:v>40</c:v>
                </c:pt>
              </c:numCache>
            </c:numRef>
          </c:xVal>
          <c:yVal>
            <c:numRef>
              <c:f>'Gabarito Exercício 2'!$E$9:$E$48</c:f>
              <c:numCache>
                <c:formatCode>General</c:formatCode>
                <c:ptCount val="40"/>
                <c:pt idx="0">
                  <c:v>1079</c:v>
                </c:pt>
                <c:pt idx="1">
                  <c:v>1886</c:v>
                </c:pt>
                <c:pt idx="2">
                  <c:v>2285</c:v>
                </c:pt>
                <c:pt idx="3">
                  <c:v>2614</c:v>
                </c:pt>
                <c:pt idx="4">
                  <c:v>2993</c:v>
                </c:pt>
                <c:pt idx="5">
                  <c:v>3447</c:v>
                </c:pt>
                <c:pt idx="6">
                  <c:v>3476</c:v>
                </c:pt>
                <c:pt idx="7">
                  <c:v>3804</c:v>
                </c:pt>
                <c:pt idx="8">
                  <c:v>4169</c:v>
                </c:pt>
                <c:pt idx="9">
                  <c:v>4127</c:v>
                </c:pt>
                <c:pt idx="10">
                  <c:v>2880</c:v>
                </c:pt>
                <c:pt idx="11">
                  <c:v>3140</c:v>
                </c:pt>
                <c:pt idx="12">
                  <c:v>2140</c:v>
                </c:pt>
                <c:pt idx="13">
                  <c:v>2478</c:v>
                </c:pt>
                <c:pt idx="14">
                  <c:v>2902</c:v>
                </c:pt>
                <c:pt idx="15">
                  <c:v>2932</c:v>
                </c:pt>
                <c:pt idx="16">
                  <c:v>3566</c:v>
                </c:pt>
                <c:pt idx="17">
                  <c:v>3338</c:v>
                </c:pt>
                <c:pt idx="18">
                  <c:v>3305</c:v>
                </c:pt>
                <c:pt idx="19">
                  <c:v>3411</c:v>
                </c:pt>
                <c:pt idx="20">
                  <c:v>3542</c:v>
                </c:pt>
                <c:pt idx="21">
                  <c:v>2985</c:v>
                </c:pt>
                <c:pt idx="22">
                  <c:v>2300</c:v>
                </c:pt>
                <c:pt idx="23">
                  <c:v>2627</c:v>
                </c:pt>
                <c:pt idx="24">
                  <c:v>1145</c:v>
                </c:pt>
                <c:pt idx="25">
                  <c:v>1859</c:v>
                </c:pt>
                <c:pt idx="26">
                  <c:v>2843</c:v>
                </c:pt>
                <c:pt idx="27">
                  <c:v>3492</c:v>
                </c:pt>
                <c:pt idx="28">
                  <c:v>2830</c:v>
                </c:pt>
                <c:pt idx="29">
                  <c:v>4184</c:v>
                </c:pt>
                <c:pt idx="30">
                  <c:v>4023</c:v>
                </c:pt>
                <c:pt idx="31">
                  <c:v>4235</c:v>
                </c:pt>
                <c:pt idx="32">
                  <c:v>4025</c:v>
                </c:pt>
                <c:pt idx="33">
                  <c:v>3999</c:v>
                </c:pt>
                <c:pt idx="34">
                  <c:v>2819</c:v>
                </c:pt>
                <c:pt idx="35">
                  <c:v>3087</c:v>
                </c:pt>
                <c:pt idx="36">
                  <c:v>1964</c:v>
                </c:pt>
                <c:pt idx="37">
                  <c:v>1946</c:v>
                </c:pt>
                <c:pt idx="38">
                  <c:v>2821</c:v>
                </c:pt>
                <c:pt idx="39">
                  <c:v>2486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4C-4416-A2F5-34199E2FD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880672"/>
        <c:axId val="592879688"/>
      </c:scatterChart>
      <c:valAx>
        <c:axId val="592880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879688"/>
        <c:crosses val="autoZero"/>
        <c:crossBetween val="midCat"/>
      </c:valAx>
      <c:valAx>
        <c:axId val="592879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880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Licenciamento em função de produção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16630838461886"/>
                  <c:y val="-3.104313033060028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0.11312114846798596"/>
                  <c:y val="0.4045507348313632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2102341731464532"/>
                  <c:y val="-1.97893052611555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0870940664398228"/>
                  <c:y val="0.621919570280605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2'!$D$9:$D$48</c:f>
              <c:numCache>
                <c:formatCode>General</c:formatCode>
                <c:ptCount val="40"/>
                <c:pt idx="0">
                  <c:v>1097</c:v>
                </c:pt>
                <c:pt idx="1">
                  <c:v>2387</c:v>
                </c:pt>
                <c:pt idx="2">
                  <c:v>1998</c:v>
                </c:pt>
                <c:pt idx="3">
                  <c:v>3271</c:v>
                </c:pt>
                <c:pt idx="4">
                  <c:v>3380</c:v>
                </c:pt>
                <c:pt idx="5">
                  <c:v>3768</c:v>
                </c:pt>
                <c:pt idx="6">
                  <c:v>4182</c:v>
                </c:pt>
                <c:pt idx="7">
                  <c:v>4904</c:v>
                </c:pt>
                <c:pt idx="8">
                  <c:v>4169</c:v>
                </c:pt>
                <c:pt idx="9">
                  <c:v>5190</c:v>
                </c:pt>
                <c:pt idx="10">
                  <c:v>4518</c:v>
                </c:pt>
                <c:pt idx="11">
                  <c:v>4578</c:v>
                </c:pt>
                <c:pt idx="12">
                  <c:v>1568</c:v>
                </c:pt>
                <c:pt idx="13">
                  <c:v>3329</c:v>
                </c:pt>
                <c:pt idx="14">
                  <c:v>4366</c:v>
                </c:pt>
                <c:pt idx="15">
                  <c:v>4120</c:v>
                </c:pt>
                <c:pt idx="16">
                  <c:v>4711</c:v>
                </c:pt>
                <c:pt idx="17">
                  <c:v>4323</c:v>
                </c:pt>
                <c:pt idx="18">
                  <c:v>4467</c:v>
                </c:pt>
                <c:pt idx="19">
                  <c:v>3875</c:v>
                </c:pt>
                <c:pt idx="20">
                  <c:v>3101</c:v>
                </c:pt>
                <c:pt idx="21">
                  <c:v>2990</c:v>
                </c:pt>
                <c:pt idx="22">
                  <c:v>2679</c:v>
                </c:pt>
                <c:pt idx="23">
                  <c:v>1564</c:v>
                </c:pt>
                <c:pt idx="24">
                  <c:v>1683</c:v>
                </c:pt>
                <c:pt idx="25">
                  <c:v>2727</c:v>
                </c:pt>
                <c:pt idx="26">
                  <c:v>4100</c:v>
                </c:pt>
                <c:pt idx="27">
                  <c:v>3821</c:v>
                </c:pt>
                <c:pt idx="28">
                  <c:v>3499</c:v>
                </c:pt>
                <c:pt idx="29">
                  <c:v>4002</c:v>
                </c:pt>
                <c:pt idx="30">
                  <c:v>5223</c:v>
                </c:pt>
                <c:pt idx="31">
                  <c:v>5279</c:v>
                </c:pt>
                <c:pt idx="32">
                  <c:v>4285</c:v>
                </c:pt>
                <c:pt idx="33">
                  <c:v>5874</c:v>
                </c:pt>
                <c:pt idx="34">
                  <c:v>5013</c:v>
                </c:pt>
                <c:pt idx="35">
                  <c:v>4345</c:v>
                </c:pt>
                <c:pt idx="36">
                  <c:v>1638</c:v>
                </c:pt>
                <c:pt idx="37">
                  <c:v>1906</c:v>
                </c:pt>
                <c:pt idx="38">
                  <c:v>2914</c:v>
                </c:pt>
                <c:pt idx="39">
                  <c:v>3062</c:v>
                </c:pt>
              </c:numCache>
            </c:numRef>
          </c:xVal>
          <c:yVal>
            <c:numRef>
              <c:f>'Gabarito Exercício 2'!$E$9:$E$48</c:f>
              <c:numCache>
                <c:formatCode>General</c:formatCode>
                <c:ptCount val="40"/>
                <c:pt idx="0">
                  <c:v>1079</c:v>
                </c:pt>
                <c:pt idx="1">
                  <c:v>1886</c:v>
                </c:pt>
                <c:pt idx="2">
                  <c:v>2285</c:v>
                </c:pt>
                <c:pt idx="3">
                  <c:v>2614</c:v>
                </c:pt>
                <c:pt idx="4">
                  <c:v>2993</c:v>
                </c:pt>
                <c:pt idx="5">
                  <c:v>3447</c:v>
                </c:pt>
                <c:pt idx="6">
                  <c:v>3476</c:v>
                </c:pt>
                <c:pt idx="7">
                  <c:v>3804</c:v>
                </c:pt>
                <c:pt idx="8">
                  <c:v>4169</c:v>
                </c:pt>
                <c:pt idx="9">
                  <c:v>4127</c:v>
                </c:pt>
                <c:pt idx="10">
                  <c:v>2880</c:v>
                </c:pt>
                <c:pt idx="11">
                  <c:v>3140</c:v>
                </c:pt>
                <c:pt idx="12">
                  <c:v>2140</c:v>
                </c:pt>
                <c:pt idx="13">
                  <c:v>2478</c:v>
                </c:pt>
                <c:pt idx="14">
                  <c:v>2902</c:v>
                </c:pt>
                <c:pt idx="15">
                  <c:v>2932</c:v>
                </c:pt>
                <c:pt idx="16">
                  <c:v>3566</c:v>
                </c:pt>
                <c:pt idx="17">
                  <c:v>3338</c:v>
                </c:pt>
                <c:pt idx="18">
                  <c:v>3305</c:v>
                </c:pt>
                <c:pt idx="19">
                  <c:v>3411</c:v>
                </c:pt>
                <c:pt idx="20">
                  <c:v>3542</c:v>
                </c:pt>
                <c:pt idx="21">
                  <c:v>2985</c:v>
                </c:pt>
                <c:pt idx="22">
                  <c:v>2300</c:v>
                </c:pt>
                <c:pt idx="23">
                  <c:v>2627</c:v>
                </c:pt>
                <c:pt idx="24">
                  <c:v>1145</c:v>
                </c:pt>
                <c:pt idx="25">
                  <c:v>1859</c:v>
                </c:pt>
                <c:pt idx="26">
                  <c:v>2843</c:v>
                </c:pt>
                <c:pt idx="27">
                  <c:v>3492</c:v>
                </c:pt>
                <c:pt idx="28">
                  <c:v>2830</c:v>
                </c:pt>
                <c:pt idx="29">
                  <c:v>4184</c:v>
                </c:pt>
                <c:pt idx="30">
                  <c:v>4023</c:v>
                </c:pt>
                <c:pt idx="31">
                  <c:v>4235</c:v>
                </c:pt>
                <c:pt idx="32">
                  <c:v>4025</c:v>
                </c:pt>
                <c:pt idx="33">
                  <c:v>3999</c:v>
                </c:pt>
                <c:pt idx="34">
                  <c:v>2819</c:v>
                </c:pt>
                <c:pt idx="35">
                  <c:v>3087</c:v>
                </c:pt>
                <c:pt idx="36">
                  <c:v>1964</c:v>
                </c:pt>
                <c:pt idx="37">
                  <c:v>1946</c:v>
                </c:pt>
                <c:pt idx="38">
                  <c:v>2821</c:v>
                </c:pt>
                <c:pt idx="39">
                  <c:v>2486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39-4FF2-A354-7D588FF32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1404536"/>
        <c:axId val="601403224"/>
      </c:scatterChart>
      <c:valAx>
        <c:axId val="601404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403224"/>
        <c:crosses val="autoZero"/>
        <c:crossBetween val="midCat"/>
      </c:valAx>
      <c:valAx>
        <c:axId val="60140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1404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Licenciamento em função de indicadores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1034896673750048"/>
                  <c:y val="-7.690969464551801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43408170283305852"/>
                  <c:y val="3.57403163221312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5.5660679593102377E-2"/>
                  <c:y val="0.3465401983253534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1906869703996967"/>
                  <c:y val="0.559796682475209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'Gabarito Exercício 3'!$C$7:$C$46</c:f>
              <c:numCache>
                <c:formatCode>General</c:formatCode>
                <c:ptCount val="40"/>
                <c:pt idx="0">
                  <c:v>40.53</c:v>
                </c:pt>
                <c:pt idx="1">
                  <c:v>55.15</c:v>
                </c:pt>
                <c:pt idx="2">
                  <c:v>59.95</c:v>
                </c:pt>
                <c:pt idx="3">
                  <c:v>70.17</c:v>
                </c:pt>
                <c:pt idx="4">
                  <c:v>77.56</c:v>
                </c:pt>
                <c:pt idx="5">
                  <c:v>86.29</c:v>
                </c:pt>
                <c:pt idx="6">
                  <c:v>89.93</c:v>
                </c:pt>
                <c:pt idx="7">
                  <c:v>94.89</c:v>
                </c:pt>
                <c:pt idx="8">
                  <c:v>99.35</c:v>
                </c:pt>
                <c:pt idx="9">
                  <c:v>98.45</c:v>
                </c:pt>
                <c:pt idx="10">
                  <c:v>77.16</c:v>
                </c:pt>
                <c:pt idx="11">
                  <c:v>77.95</c:v>
                </c:pt>
                <c:pt idx="12">
                  <c:v>54.57</c:v>
                </c:pt>
                <c:pt idx="13">
                  <c:v>60.71</c:v>
                </c:pt>
                <c:pt idx="14">
                  <c:v>72.98</c:v>
                </c:pt>
                <c:pt idx="15">
                  <c:v>72.010000000000005</c:v>
                </c:pt>
                <c:pt idx="16">
                  <c:v>87.95</c:v>
                </c:pt>
                <c:pt idx="17">
                  <c:v>83.15</c:v>
                </c:pt>
                <c:pt idx="18">
                  <c:v>83.65</c:v>
                </c:pt>
                <c:pt idx="19">
                  <c:v>89.07</c:v>
                </c:pt>
                <c:pt idx="20">
                  <c:v>89.97</c:v>
                </c:pt>
                <c:pt idx="21">
                  <c:v>79.25</c:v>
                </c:pt>
                <c:pt idx="22">
                  <c:v>58.56</c:v>
                </c:pt>
                <c:pt idx="23">
                  <c:v>69.75</c:v>
                </c:pt>
                <c:pt idx="24">
                  <c:v>32.049999999999997</c:v>
                </c:pt>
                <c:pt idx="25">
                  <c:v>45.27</c:v>
                </c:pt>
                <c:pt idx="26">
                  <c:v>72.75</c:v>
                </c:pt>
                <c:pt idx="27">
                  <c:v>85.9</c:v>
                </c:pt>
                <c:pt idx="28">
                  <c:v>70.05</c:v>
                </c:pt>
                <c:pt idx="29">
                  <c:v>99.15</c:v>
                </c:pt>
                <c:pt idx="30">
                  <c:v>96.01</c:v>
                </c:pt>
                <c:pt idx="31">
                  <c:v>95.95</c:v>
                </c:pt>
                <c:pt idx="32">
                  <c:v>98.05</c:v>
                </c:pt>
                <c:pt idx="33">
                  <c:v>95.72</c:v>
                </c:pt>
                <c:pt idx="34">
                  <c:v>77.87</c:v>
                </c:pt>
                <c:pt idx="35">
                  <c:v>78.150000000000006</c:v>
                </c:pt>
                <c:pt idx="36">
                  <c:v>54.57</c:v>
                </c:pt>
                <c:pt idx="37">
                  <c:v>57.83</c:v>
                </c:pt>
                <c:pt idx="38">
                  <c:v>75.12</c:v>
                </c:pt>
                <c:pt idx="39">
                  <c:v>67.75</c:v>
                </c:pt>
              </c:numCache>
            </c:numRef>
          </c:xVal>
          <c:yVal>
            <c:numRef>
              <c:f>'Gabarito Exercício 3'!$D$7:$D$46</c:f>
              <c:numCache>
                <c:formatCode>General</c:formatCode>
                <c:ptCount val="40"/>
                <c:pt idx="0">
                  <c:v>1079</c:v>
                </c:pt>
                <c:pt idx="1">
                  <c:v>1886</c:v>
                </c:pt>
                <c:pt idx="2">
                  <c:v>2285</c:v>
                </c:pt>
                <c:pt idx="3">
                  <c:v>2614</c:v>
                </c:pt>
                <c:pt idx="4">
                  <c:v>2993</c:v>
                </c:pt>
                <c:pt idx="5">
                  <c:v>3447</c:v>
                </c:pt>
                <c:pt idx="6">
                  <c:v>3476</c:v>
                </c:pt>
                <c:pt idx="7">
                  <c:v>3804</c:v>
                </c:pt>
                <c:pt idx="8">
                  <c:v>4169</c:v>
                </c:pt>
                <c:pt idx="9">
                  <c:v>4127</c:v>
                </c:pt>
                <c:pt idx="10">
                  <c:v>2880</c:v>
                </c:pt>
                <c:pt idx="11">
                  <c:v>3140</c:v>
                </c:pt>
                <c:pt idx="12">
                  <c:v>2140</c:v>
                </c:pt>
                <c:pt idx="13">
                  <c:v>2478</c:v>
                </c:pt>
                <c:pt idx="14">
                  <c:v>2902</c:v>
                </c:pt>
                <c:pt idx="15">
                  <c:v>2932</c:v>
                </c:pt>
                <c:pt idx="16">
                  <c:v>3566</c:v>
                </c:pt>
                <c:pt idx="17">
                  <c:v>3338</c:v>
                </c:pt>
                <c:pt idx="18">
                  <c:v>3305</c:v>
                </c:pt>
                <c:pt idx="19">
                  <c:v>3411</c:v>
                </c:pt>
                <c:pt idx="20">
                  <c:v>3542</c:v>
                </c:pt>
                <c:pt idx="21">
                  <c:v>2985</c:v>
                </c:pt>
                <c:pt idx="22">
                  <c:v>2300</c:v>
                </c:pt>
                <c:pt idx="23">
                  <c:v>2627</c:v>
                </c:pt>
                <c:pt idx="24">
                  <c:v>1145</c:v>
                </c:pt>
                <c:pt idx="25">
                  <c:v>1859</c:v>
                </c:pt>
                <c:pt idx="26">
                  <c:v>2843</c:v>
                </c:pt>
                <c:pt idx="27">
                  <c:v>3492</c:v>
                </c:pt>
                <c:pt idx="28">
                  <c:v>2830</c:v>
                </c:pt>
                <c:pt idx="29">
                  <c:v>4184</c:v>
                </c:pt>
                <c:pt idx="30">
                  <c:v>4023</c:v>
                </c:pt>
                <c:pt idx="31">
                  <c:v>4235</c:v>
                </c:pt>
                <c:pt idx="32">
                  <c:v>4025</c:v>
                </c:pt>
                <c:pt idx="33">
                  <c:v>3999</c:v>
                </c:pt>
                <c:pt idx="34">
                  <c:v>2819</c:v>
                </c:pt>
                <c:pt idx="35">
                  <c:v>3087</c:v>
                </c:pt>
                <c:pt idx="36">
                  <c:v>1964</c:v>
                </c:pt>
                <c:pt idx="37">
                  <c:v>1946</c:v>
                </c:pt>
                <c:pt idx="38">
                  <c:v>2821</c:v>
                </c:pt>
                <c:pt idx="39">
                  <c:v>2486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01-4204-9DFC-3B80F9C82F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95928"/>
        <c:axId val="643194616"/>
      </c:scatterChart>
      <c:valAx>
        <c:axId val="643195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3194616"/>
        <c:crosses val="autoZero"/>
        <c:crossBetween val="midCat"/>
      </c:valAx>
      <c:valAx>
        <c:axId val="64319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3195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7" Type="http://schemas.openxmlformats.org/officeDocument/2006/relationships/image" Target="../media/image3.jpeg"/><Relationship Id="rId2" Type="http://schemas.openxmlformats.org/officeDocument/2006/relationships/hyperlink" Target="https://www.google.com.br/url?sa=i&amp;rct=j&amp;q=&amp;esrc=s&amp;source=images&amp;cd=&amp;ved=2ahUKEwiM_cfr67niAhU5HLkGHfpAD5UQjRx6BAgBEAU&amp;url=http%3A%2F%2Fwww.scielo.br%2Fscielo.php%3Fscript%3Dsci_arttext%26pid%3DS0103-84782004000300021&amp;psig=AOvVaw2App8vc2kXLleraMCRB3Ge&amp;ust=1558982307210044" TargetMode="External"/><Relationship Id="rId1" Type="http://schemas.openxmlformats.org/officeDocument/2006/relationships/chart" Target="../charts/chart7.xml"/><Relationship Id="rId6" Type="http://schemas.openxmlformats.org/officeDocument/2006/relationships/hyperlink" Target="https://www.google.com.br/url?sa=i&amp;rct=j&amp;q=&amp;esrc=s&amp;source=images&amp;cd=&amp;ved=2ahUKEwjGwNOK-LniAhVlA9QKHTS5DYIQjRx6BAgBEAU&amp;url=http%3A%2F%2Fwww.celeres.com.br%2Fo-setor-de-maquinas-agricolas-no-brasil-evolucao-nos-ultimos-anos-e-perspectivas%2F&amp;psig=AOvVaw0Bxw-kHEeU0sT23qTKa5J7&amp;ust=1558985590557737" TargetMode="External"/><Relationship Id="rId5" Type="http://schemas.openxmlformats.org/officeDocument/2006/relationships/image" Target="../media/image2.gif"/><Relationship Id="rId4" Type="http://schemas.openxmlformats.org/officeDocument/2006/relationships/hyperlink" Target="https://www.google.com.br/url?sa=i&amp;rct=j&amp;q=&amp;esrc=s&amp;source=images&amp;cd=&amp;ved=2ahUKEwj-ruLb97niAhWnLLkGHSX6DbsQjRx6BAgBEAU&amp;url=http%3A%2F%2Fwww.ecen.com%2Fprodutividade_de_capital%2Fquarto_relatorio.htm&amp;psig=AOvVaw2App8vc2kXLleraMCRB3Ge&amp;ust=155898230721004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714375</xdr:colOff>
      <xdr:row>1</xdr:row>
      <xdr:rowOff>85725</xdr:rowOff>
    </xdr:from>
    <xdr:ext cx="8018221" cy="436786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806E71E-39B1-4E0E-A4B3-B3CA7244B8B9}"/>
            </a:ext>
          </a:extLst>
        </xdr:cNvPr>
        <xdr:cNvSpPr txBox="1"/>
      </xdr:nvSpPr>
      <xdr:spPr>
        <a:xfrm>
          <a:off x="1323975" y="276225"/>
          <a:ext cx="801822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A tabela a seguir</a:t>
          </a:r>
          <a:r>
            <a:rPr lang="pt-BR" sz="1100" baseline="0"/>
            <a:t> da Anfavea informa o volume de vendas de caminhões. Consierando o debate sobre a crise de fretes, como essa tabela </a:t>
          </a:r>
        </a:p>
        <a:p>
          <a:r>
            <a:rPr lang="pt-BR" sz="1100" baseline="0"/>
            <a:t>demonstra que a venda de caminhões não traduz o crescimento do setor.</a:t>
          </a:r>
          <a:endParaRPr lang="pt-BR" sz="1100"/>
        </a:p>
      </xdr:txBody>
    </xdr:sp>
    <xdr:clientData/>
  </xdr:oneCellAnchor>
  <xdr:oneCellAnchor>
    <xdr:from>
      <xdr:col>0</xdr:col>
      <xdr:colOff>171450</xdr:colOff>
      <xdr:row>48</xdr:row>
      <xdr:rowOff>114300</xdr:rowOff>
    </xdr:from>
    <xdr:ext cx="5133975" cy="1516825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8DEEEAF4-5087-4A9B-84C7-935B28E044B0}"/>
            </a:ext>
          </a:extLst>
        </xdr:cNvPr>
        <xdr:cNvSpPr txBox="1"/>
      </xdr:nvSpPr>
      <xdr:spPr>
        <a:xfrm>
          <a:off x="171450" y="9258300"/>
          <a:ext cx="5133975" cy="1516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600">
              <a:latin typeface="+mn-lt"/>
            </a:rPr>
            <a:t>http://www.anfavea.com.br/estatisticas.html</a:t>
          </a:r>
        </a:p>
        <a:p>
          <a:endParaRPr lang="pt-BR" sz="1600">
            <a:latin typeface="+mn-lt"/>
          </a:endParaRPr>
        </a:p>
        <a:p>
          <a:r>
            <a:rPr lang="pt-BR" sz="1600">
              <a:latin typeface="+mn-lt"/>
            </a:rPr>
            <a:t>=+'M:\Estat\DESEMP19\[ANALISE19.xlsm]Séries_Site'!G751</a:t>
          </a:r>
        </a:p>
        <a:p>
          <a:endParaRPr lang="pt-BR" sz="1600">
            <a:latin typeface="+mn-lt"/>
          </a:endParaRPr>
        </a:p>
        <a:p>
          <a:r>
            <a:rPr lang="pt-BR" sz="1600">
              <a:latin typeface="+mn-lt"/>
            </a:rPr>
            <a:t>período:</a:t>
          </a:r>
          <a:r>
            <a:rPr lang="pt-BR" sz="1600" baseline="0">
              <a:latin typeface="+mn-lt"/>
            </a:rPr>
            <a:t> janeiro 2016 a 2019</a:t>
          </a:r>
          <a:endParaRPr lang="pt-BR" sz="1600">
            <a:latin typeface="+mn-lt"/>
          </a:endParaRPr>
        </a:p>
        <a:p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1</xdr:row>
      <xdr:rowOff>76200</xdr:rowOff>
    </xdr:from>
    <xdr:ext cx="8018221" cy="60901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A7B29ED-661A-4C79-A85C-4F56C7D5AD72}"/>
            </a:ext>
          </a:extLst>
        </xdr:cNvPr>
        <xdr:cNvSpPr txBox="1"/>
      </xdr:nvSpPr>
      <xdr:spPr>
        <a:xfrm>
          <a:off x="1285875" y="266700"/>
          <a:ext cx="8018221" cy="609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tabela a seguir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 Anfavea informa o volume de vendas de caminhões. Consierando o debate sobre a crise de fretes, como essa tabela </a:t>
          </a:r>
          <a:endParaRPr lang="pt-BR">
            <a:effectLst/>
          </a:endParaRP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demonstra que a venda de caminhões não traduz o crescimento do setor.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6</xdr:col>
      <xdr:colOff>276226</xdr:colOff>
      <xdr:row>8</xdr:row>
      <xdr:rowOff>185736</xdr:rowOff>
    </xdr:from>
    <xdr:to>
      <xdr:col>17</xdr:col>
      <xdr:colOff>571500</xdr:colOff>
      <xdr:row>38</xdr:row>
      <xdr:rowOff>171449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FA5E2B9-823F-4CBB-8B9E-0E20C7134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314325</xdr:colOff>
      <xdr:row>8</xdr:row>
      <xdr:rowOff>176211</xdr:rowOff>
    </xdr:from>
    <xdr:to>
      <xdr:col>30</xdr:col>
      <xdr:colOff>180975</xdr:colOff>
      <xdr:row>38</xdr:row>
      <xdr:rowOff>123824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BAB2B35-5E37-40D6-A843-6B76969B5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552450</xdr:colOff>
      <xdr:row>41</xdr:row>
      <xdr:rowOff>61912</xdr:rowOff>
    </xdr:from>
    <xdr:to>
      <xdr:col>17</xdr:col>
      <xdr:colOff>571500</xdr:colOff>
      <xdr:row>69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A93FB6-C35A-4BA9-BDE2-36693C95B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19</xdr:col>
      <xdr:colOff>352425</xdr:colOff>
      <xdr:row>42</xdr:row>
      <xdr:rowOff>161925</xdr:rowOff>
    </xdr:from>
    <xdr:ext cx="6171369" cy="436786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4A099C65-1081-4356-AAC9-7E5826B33415}"/>
            </a:ext>
          </a:extLst>
        </xdr:cNvPr>
        <xdr:cNvSpPr txBox="1"/>
      </xdr:nvSpPr>
      <xdr:spPr>
        <a:xfrm>
          <a:off x="14982825" y="8162925"/>
          <a:ext cx="617136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Note que as equações de</a:t>
          </a:r>
          <a:r>
            <a:rPr lang="pt-BR" sz="1100" baseline="0"/>
            <a:t> licenciamento são menores que as da produção. Como ocnsequência, pode-se </a:t>
          </a:r>
        </a:p>
        <a:p>
          <a:r>
            <a:rPr lang="pt-BR" sz="1100" baseline="0"/>
            <a:t>construir a hipótese de que parte da produção não está sendo comercializada.</a:t>
          </a:r>
          <a:endParaRPr lang="pt-B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219075</xdr:colOff>
      <xdr:row>1</xdr:row>
      <xdr:rowOff>123825</xdr:rowOff>
    </xdr:from>
    <xdr:ext cx="11033790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56D95069-DBF8-4B1B-84A3-6CBDD3DD482E}"/>
            </a:ext>
          </a:extLst>
        </xdr:cNvPr>
        <xdr:cNvSpPr txBox="1"/>
      </xdr:nvSpPr>
      <xdr:spPr>
        <a:xfrm>
          <a:off x="1438275" y="314325"/>
          <a:ext cx="110337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Fala-se muito do crescimento do agronegócio e do crescimetno da agricultura de precisão. Com base nos</a:t>
          </a:r>
          <a:r>
            <a:rPr lang="pt-BR" sz="1100" baseline="0"/>
            <a:t> dados da ANFAVEA pode-se dizer  que esses crescimento afeta a venda de tratores?</a:t>
          </a:r>
          <a:endParaRPr lang="pt-BR" sz="1100"/>
        </a:p>
      </xdr:txBody>
    </xdr:sp>
    <xdr:clientData/>
  </xdr:oneCellAnchor>
  <xdr:oneCellAnchor>
    <xdr:from>
      <xdr:col>2</xdr:col>
      <xdr:colOff>504825</xdr:colOff>
      <xdr:row>49</xdr:row>
      <xdr:rowOff>66675</xdr:rowOff>
    </xdr:from>
    <xdr:ext cx="3650999" cy="1125693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EC084F78-D0B8-44B7-82C1-78EA21BD7B1F}"/>
            </a:ext>
          </a:extLst>
        </xdr:cNvPr>
        <xdr:cNvSpPr txBox="1"/>
      </xdr:nvSpPr>
      <xdr:spPr>
        <a:xfrm>
          <a:off x="1724025" y="9401175"/>
          <a:ext cx="3650999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/>
            <a:t>fonte: </a:t>
          </a: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http://www.anfavea.com.br/estatisticas.html</a:t>
          </a:r>
          <a:endParaRPr lang="pt-BR">
            <a:effectLst/>
          </a:endParaRPr>
        </a:p>
        <a:p>
          <a:endParaRPr lang="pt-BR" sz="1100"/>
        </a:p>
        <a:p>
          <a:r>
            <a:rPr lang="pt-BR" sz="1100"/>
            <a:t> =+'M:\Estat\DESEMP19\[TRATSP19.xlsm]Séries_Site'!AE717</a:t>
          </a:r>
        </a:p>
        <a:p>
          <a:endParaRPr lang="pt-BR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janeiro 2016 a 2019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628650</xdr:colOff>
      <xdr:row>1</xdr:row>
      <xdr:rowOff>19050</xdr:rowOff>
    </xdr:from>
    <xdr:ext cx="11033790" cy="436786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3ACA7A4-F333-458B-A14E-15E862DC388E}"/>
            </a:ext>
          </a:extLst>
        </xdr:cNvPr>
        <xdr:cNvSpPr txBox="1"/>
      </xdr:nvSpPr>
      <xdr:spPr>
        <a:xfrm>
          <a:off x="1847850" y="209550"/>
          <a:ext cx="1103379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Fala-se muito do crescimento do agronegócio e do crescimetno da agricultura de precisão. Com base nos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dados da ANFAVEA pode-se dizer  que esses crescimento afeta a venda de tratores?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6</xdr:col>
      <xdr:colOff>152400</xdr:colOff>
      <xdr:row>9</xdr:row>
      <xdr:rowOff>4762</xdr:rowOff>
    </xdr:from>
    <xdr:to>
      <xdr:col>16</xdr:col>
      <xdr:colOff>590550</xdr:colOff>
      <xdr:row>38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1EF08E-0B36-40E0-AC8C-D90304184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485774</xdr:colOff>
      <xdr:row>11</xdr:row>
      <xdr:rowOff>147636</xdr:rowOff>
    </xdr:from>
    <xdr:to>
      <xdr:col>30</xdr:col>
      <xdr:colOff>495299</xdr:colOff>
      <xdr:row>37</xdr:row>
      <xdr:rowOff>38099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32AF6A-5F74-495E-A972-81BE48393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552449</xdr:colOff>
      <xdr:row>40</xdr:row>
      <xdr:rowOff>185737</xdr:rowOff>
    </xdr:from>
    <xdr:to>
      <xdr:col>16</xdr:col>
      <xdr:colOff>561974</xdr:colOff>
      <xdr:row>68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B6CA52-4677-464F-AD7E-04B146891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161925</xdr:colOff>
      <xdr:row>46</xdr:row>
      <xdr:rowOff>95250</xdr:rowOff>
    </xdr:from>
    <xdr:ext cx="3936975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4FBBFFD-E060-43CC-89F5-F125625CD374}"/>
            </a:ext>
          </a:extLst>
        </xdr:cNvPr>
        <xdr:cNvSpPr txBox="1"/>
      </xdr:nvSpPr>
      <xdr:spPr>
        <a:xfrm>
          <a:off x="1381125" y="8858250"/>
          <a:ext cx="393697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Indicadores: crédito, agricultura de expostação e variação interna</a:t>
          </a:r>
        </a:p>
      </xdr:txBody>
    </xdr:sp>
    <xdr:clientData/>
  </xdr:oneCellAnchor>
  <xdr:oneCellAnchor>
    <xdr:from>
      <xdr:col>2</xdr:col>
      <xdr:colOff>847725</xdr:colOff>
      <xdr:row>0</xdr:row>
      <xdr:rowOff>171450</xdr:rowOff>
    </xdr:from>
    <xdr:ext cx="2081917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EAD4897-4C82-4666-ADA7-4D7BD18E6545}"/>
            </a:ext>
          </a:extLst>
        </xdr:cNvPr>
        <xdr:cNvSpPr txBox="1"/>
      </xdr:nvSpPr>
      <xdr:spPr>
        <a:xfrm>
          <a:off x="2066925" y="171450"/>
          <a:ext cx="20819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Avalie o novo indicador proposto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914400</xdr:colOff>
      <xdr:row>1</xdr:row>
      <xdr:rowOff>66675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217479E-F951-4277-AC4A-7FE1FD713CA3}"/>
            </a:ext>
          </a:extLst>
        </xdr:cNvPr>
        <xdr:cNvSpPr txBox="1"/>
      </xdr:nvSpPr>
      <xdr:spPr>
        <a:xfrm>
          <a:off x="2133600" y="2571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oneCellAnchor>
    <xdr:from>
      <xdr:col>2</xdr:col>
      <xdr:colOff>657225</xdr:colOff>
      <xdr:row>0</xdr:row>
      <xdr:rowOff>180975</xdr:rowOff>
    </xdr:from>
    <xdr:ext cx="2081917" cy="436786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FB87B70F-5F68-4DB2-8F22-51F43E3C7E6D}"/>
            </a:ext>
          </a:extLst>
        </xdr:cNvPr>
        <xdr:cNvSpPr txBox="1"/>
      </xdr:nvSpPr>
      <xdr:spPr>
        <a:xfrm>
          <a:off x="1876425" y="180975"/>
          <a:ext cx="2081917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Avalie o novo indicador proposto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oneCellAnchor>
    <xdr:from>
      <xdr:col>2</xdr:col>
      <xdr:colOff>552450</xdr:colOff>
      <xdr:row>48</xdr:row>
      <xdr:rowOff>57150</xdr:rowOff>
    </xdr:from>
    <xdr:ext cx="3936975" cy="436786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CC745EF-1BD5-4D7A-AA13-4023DB893F8F}"/>
            </a:ext>
          </a:extLst>
        </xdr:cNvPr>
        <xdr:cNvSpPr txBox="1"/>
      </xdr:nvSpPr>
      <xdr:spPr>
        <a:xfrm>
          <a:off x="1771650" y="9201150"/>
          <a:ext cx="393697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Indicadores: crédito, agricultura de expostação e variação interna</a:t>
          </a:r>
          <a:endParaRPr lang="pt-BR">
            <a:effectLst/>
          </a:endParaRPr>
        </a:p>
        <a:p>
          <a:endParaRPr lang="pt-BR" sz="1100"/>
        </a:p>
      </xdr:txBody>
    </xdr:sp>
    <xdr:clientData/>
  </xdr:oneCellAnchor>
  <xdr:twoCellAnchor>
    <xdr:from>
      <xdr:col>7</xdr:col>
      <xdr:colOff>76199</xdr:colOff>
      <xdr:row>6</xdr:row>
      <xdr:rowOff>180975</xdr:rowOff>
    </xdr:from>
    <xdr:to>
      <xdr:col>21</xdr:col>
      <xdr:colOff>47624</xdr:colOff>
      <xdr:row>41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284391-8833-4339-8BF0-3BA1621F3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11</xdr:col>
      <xdr:colOff>390525</xdr:colOff>
      <xdr:row>46</xdr:row>
      <xdr:rowOff>123825</xdr:rowOff>
    </xdr:from>
    <xdr:ext cx="6572825" cy="1470146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FE6AA987-7FCF-4A67-AA37-4D51D826AF90}"/>
            </a:ext>
          </a:extLst>
        </xdr:cNvPr>
        <xdr:cNvSpPr txBox="1"/>
      </xdr:nvSpPr>
      <xdr:spPr>
        <a:xfrm>
          <a:off x="9353550" y="8886825"/>
          <a:ext cx="6572825" cy="14701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Note que nesse ponto a colocação do</a:t>
          </a:r>
          <a:r>
            <a:rPr lang="pt-BR" sz="1100" baseline="0"/>
            <a:t> exercício 1 fica ainda mais clara: </a:t>
          </a:r>
        </a:p>
        <a:p>
          <a:endParaRPr lang="pt-BR" sz="1100" baseline="0"/>
        </a:p>
        <a:p>
          <a:r>
            <a:rPr lang="pt-B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Note que as equações de</a:t>
          </a:r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licenciamento são menores que as da produção. Como consequência, pode-se </a:t>
          </a:r>
          <a:endParaRPr lang="pt-BR">
            <a:effectLst/>
          </a:endParaRP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construir a hipótese de que parte da produção não está sendo comercializada, aguradando o melhor momento </a:t>
          </a:r>
        </a:p>
        <a:p>
          <a:r>
            <a:rPr lang="pt-B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tal fim.</a:t>
          </a:r>
          <a:endParaRPr lang="pt-BR">
            <a:effectLst/>
          </a:endParaRPr>
        </a:p>
        <a:p>
          <a:endParaRPr lang="pt-BR" sz="1100" baseline="0"/>
        </a:p>
        <a:p>
          <a:endParaRPr lang="pt-BR" sz="1100" baseline="0"/>
        </a:p>
        <a:p>
          <a:endParaRPr lang="pt-BR" sz="1100"/>
        </a:p>
      </xdr:txBody>
    </xdr:sp>
    <xdr:clientData/>
  </xdr:oneCellAnchor>
  <xdr:twoCellAnchor editAs="oneCell">
    <xdr:from>
      <xdr:col>26</xdr:col>
      <xdr:colOff>0</xdr:colOff>
      <xdr:row>15</xdr:row>
      <xdr:rowOff>0</xdr:rowOff>
    </xdr:from>
    <xdr:to>
      <xdr:col>34</xdr:col>
      <xdr:colOff>114300</xdr:colOff>
      <xdr:row>33</xdr:row>
      <xdr:rowOff>171450</xdr:rowOff>
    </xdr:to>
    <xdr:pic>
      <xdr:nvPicPr>
        <xdr:cNvPr id="7" name="Imagem 6" descr="Resultado de imagem para Tabelas  área plantada em função de mecanização">
          <a:hlinkClick xmlns:r="http://schemas.openxmlformats.org/officeDocument/2006/relationships" r:id="rId2" tgtFrame="_blank"/>
          <a:extLst>
            <a:ext uri="{FF2B5EF4-FFF2-40B4-BE49-F238E27FC236}">
              <a16:creationId xmlns:a16="http://schemas.microsoft.com/office/drawing/2014/main" id="{375067E6-DA68-4B8E-A8F7-B7818069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7025" y="2857500"/>
          <a:ext cx="4991100" cy="3600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34</xdr:col>
      <xdr:colOff>409575</xdr:colOff>
      <xdr:row>56</xdr:row>
      <xdr:rowOff>85725</xdr:rowOff>
    </xdr:to>
    <xdr:pic>
      <xdr:nvPicPr>
        <xdr:cNvPr id="9" name="Imagem 8" descr="Resultado de imagem para Tabelas  área plantada em função de mecanização">
          <a:hlinkClick xmlns:r="http://schemas.openxmlformats.org/officeDocument/2006/relationships" r:id="rId4" tgtFrame="_blank"/>
          <a:extLst>
            <a:ext uri="{FF2B5EF4-FFF2-40B4-BE49-F238E27FC236}">
              <a16:creationId xmlns:a16="http://schemas.microsoft.com/office/drawing/2014/main" id="{581469F4-53DB-4343-B34A-BECC91AE6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7025" y="8001000"/>
          <a:ext cx="5286375" cy="2752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0</xdr:colOff>
      <xdr:row>60</xdr:row>
      <xdr:rowOff>0</xdr:rowOff>
    </xdr:from>
    <xdr:to>
      <xdr:col>35</xdr:col>
      <xdr:colOff>19050</xdr:colOff>
      <xdr:row>77</xdr:row>
      <xdr:rowOff>19050</xdr:rowOff>
    </xdr:to>
    <xdr:pic>
      <xdr:nvPicPr>
        <xdr:cNvPr id="10" name="Imagem 9" descr="Resultado de imagem para Tabelas  área plantada em função de mecanização">
          <a:hlinkClick xmlns:r="http://schemas.openxmlformats.org/officeDocument/2006/relationships" r:id="rId6" tgtFrame="_blank"/>
          <a:extLst>
            <a:ext uri="{FF2B5EF4-FFF2-40B4-BE49-F238E27FC236}">
              <a16:creationId xmlns:a16="http://schemas.microsoft.com/office/drawing/2014/main" id="{9282E74F-091A-45D0-9B55-B798C6C2A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07025" y="11430000"/>
          <a:ext cx="5505450" cy="325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5E996-78A8-48CE-8E0C-C299B3785C53}" name="Tabela1" displayName="Tabela1" ref="B6:D46" totalsRowShown="0">
  <autoFilter ref="B6:D46" xr:uid="{0981D421-FE25-400E-B433-EAAC97BA3934}"/>
  <tableColumns count="3">
    <tableColumn id="1" xr3:uid="{2867D92C-EC06-457A-8BD6-0DF8AAD72A90}" name="Tempo (meses)"/>
    <tableColumn id="2" xr3:uid="{2B6B7439-15D3-493F-9E94-33F0C3695E3E}" name="Produção de caminhões"/>
    <tableColumn id="3" xr3:uid="{085BAE56-C3BE-4036-BC94-870AC487D56A}" name="Licenciamento de caminhões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EEF25-7304-4112-8084-ECCFD8E838C5}" name="Tabela13" displayName="Tabela13" ref="C7:E47" totalsRowShown="0">
  <autoFilter ref="C7:E47" xr:uid="{0DB87E6B-FC3C-4708-B47B-3084B613324C}"/>
  <tableColumns count="3">
    <tableColumn id="1" xr3:uid="{B33F6CC5-3B10-4B63-B379-4B128A21383A}" name="Tempo (meses)"/>
    <tableColumn id="2" xr3:uid="{9585AADF-6075-4E83-8417-EB1EF8365946}" name="Produção de caminhões"/>
    <tableColumn id="3" xr3:uid="{A8C46FC5-593B-45CB-90F8-17B8A5A9BEC5}" name="Licenciamento de caminhões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C9CC17-EC8D-43C1-8FA9-527640E5DCAF}" name="Tabela3" displayName="Tabela3" ref="C7:E47" totalsRowShown="0" headerRowDxfId="11" dataDxfId="12">
  <autoFilter ref="C7:E47" xr:uid="{C5CF7AAD-529E-4D36-AEA2-B3A2C0D263E9}"/>
  <tableColumns count="3">
    <tableColumn id="1" xr3:uid="{DED0AFD2-F8EE-4DD4-A940-9CE90A07E24F}" name="Tempo (meses)" dataDxfId="15"/>
    <tableColumn id="2" xr3:uid="{E23389DC-CFBC-404F-B0CE-A24C15A3E273}" name="Produção de tratores" dataDxfId="14"/>
    <tableColumn id="3" xr3:uid="{5CB5B35C-9440-469F-A618-445DE0539AFF}" name="Licenciamento de tratores" dataDxfId="13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FA6AD5-D6F4-4DD0-B062-7BE0780E43ED}" name="Tabela35" displayName="Tabela35" ref="C8:E48" totalsRowShown="0" headerRowDxfId="10" dataDxfId="9">
  <autoFilter ref="C8:E48" xr:uid="{023555B2-A2C5-447C-94AB-AC369A739247}"/>
  <tableColumns count="3">
    <tableColumn id="1" xr3:uid="{5450E15A-C3F7-4F4F-B1E7-B6BD2695AE89}" name="Tempo (meses)" dataDxfId="8"/>
    <tableColumn id="2" xr3:uid="{B45841AD-ED37-4C57-982D-1870FBED1313}" name="Produção de tratores" dataDxfId="7"/>
    <tableColumn id="3" xr3:uid="{F8CBB599-6829-492B-91C6-672012B43F06}" name="Licenciamento de tratores" dataDxfId="6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39D81C-6CD8-4993-A440-9137FBE71B89}" name="Tabela5" displayName="Tabela5" ref="C4:D44" totalsRowShown="0" tableBorderDxfId="5">
  <autoFilter ref="C4:D44" xr:uid="{7DA5C3CD-E9EE-4365-A0BC-A6C9C750E8EF}"/>
  <tableColumns count="2">
    <tableColumn id="1" xr3:uid="{CF2A66B0-D626-4BFD-9447-D1DAD333E77F}" name="Média de indicadores (%)" dataDxfId="0"/>
    <tableColumn id="2" xr3:uid="{F5E849B5-35A8-4952-9F88-B92A9BA1E50F}" name="Licenciamento de tratores" dataDxfId="4"/>
  </tableColumns>
  <tableStyleInfo name="TableStyleLight1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42EC0F-C91C-4A01-8D05-DD1473E8AEB2}" name="Tabela57" displayName="Tabela57" ref="C6:D46" totalsRowShown="0" tableBorderDxfId="3">
  <autoFilter ref="C6:D46" xr:uid="{1B156D91-868C-47B4-97C0-F4E027012DBD}"/>
  <tableColumns count="2">
    <tableColumn id="1" xr3:uid="{1ECCCBFD-A80A-416B-94B3-CD4F90EB7877}" name="Média de indicadores (%)" dataDxfId="2"/>
    <tableColumn id="2" xr3:uid="{8D07B394-04D5-48B2-899E-89E7F4E09037}" name="Licenciamento de tratores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7B9-7FA8-410C-B8CC-B2D39A0315E8}">
  <dimension ref="B6:F46"/>
  <sheetViews>
    <sheetView topLeftCell="A22" workbookViewId="0">
      <selection activeCell="H52" sqref="H52"/>
    </sheetView>
  </sheetViews>
  <sheetFormatPr defaultRowHeight="15" x14ac:dyDescent="0.25"/>
  <cols>
    <col min="2" max="2" width="16.85546875" customWidth="1"/>
    <col min="3" max="3" width="24.42578125" customWidth="1"/>
    <col min="4" max="4" width="28.7109375" customWidth="1"/>
  </cols>
  <sheetData>
    <row r="6" spans="2:4" x14ac:dyDescent="0.25">
      <c r="B6" t="s">
        <v>2</v>
      </c>
      <c r="C6" t="s">
        <v>1</v>
      </c>
      <c r="D6" t="s">
        <v>0</v>
      </c>
    </row>
    <row r="7" spans="2:4" x14ac:dyDescent="0.25">
      <c r="B7">
        <v>1</v>
      </c>
      <c r="C7">
        <v>4158</v>
      </c>
      <c r="D7">
        <v>4266</v>
      </c>
    </row>
    <row r="8" spans="2:4" x14ac:dyDescent="0.25">
      <c r="B8">
        <v>2</v>
      </c>
      <c r="C8">
        <v>5317</v>
      </c>
      <c r="D8">
        <v>3683</v>
      </c>
    </row>
    <row r="9" spans="2:4" x14ac:dyDescent="0.25">
      <c r="B9">
        <v>3</v>
      </c>
      <c r="C9">
        <v>5616</v>
      </c>
      <c r="D9">
        <v>4690</v>
      </c>
    </row>
    <row r="10" spans="2:4" x14ac:dyDescent="0.25">
      <c r="B10">
        <v>4</v>
      </c>
      <c r="C10">
        <v>5197</v>
      </c>
      <c r="D10">
        <v>4098</v>
      </c>
    </row>
    <row r="11" spans="2:4" x14ac:dyDescent="0.25">
      <c r="B11">
        <v>5</v>
      </c>
      <c r="C11">
        <v>5332</v>
      </c>
      <c r="D11">
        <v>3923</v>
      </c>
    </row>
    <row r="12" spans="2:4" x14ac:dyDescent="0.25">
      <c r="B12">
        <v>6</v>
      </c>
      <c r="C12">
        <v>5570</v>
      </c>
      <c r="D12">
        <v>4038</v>
      </c>
    </row>
    <row r="13" spans="2:4" x14ac:dyDescent="0.25">
      <c r="B13">
        <v>7</v>
      </c>
      <c r="C13">
        <v>5091</v>
      </c>
      <c r="D13">
        <v>4492</v>
      </c>
    </row>
    <row r="14" spans="2:4" x14ac:dyDescent="0.25">
      <c r="B14">
        <v>8</v>
      </c>
      <c r="C14">
        <v>5211</v>
      </c>
      <c r="D14">
        <v>4238</v>
      </c>
    </row>
    <row r="15" spans="2:4" x14ac:dyDescent="0.25">
      <c r="B15">
        <v>9</v>
      </c>
      <c r="C15">
        <v>4846</v>
      </c>
      <c r="D15">
        <v>4068</v>
      </c>
    </row>
    <row r="16" spans="2:4" x14ac:dyDescent="0.25">
      <c r="B16">
        <v>10</v>
      </c>
      <c r="C16">
        <v>4635</v>
      </c>
      <c r="D16">
        <v>3324</v>
      </c>
    </row>
    <row r="17" spans="2:4" x14ac:dyDescent="0.25">
      <c r="B17">
        <v>11</v>
      </c>
      <c r="C17">
        <v>5362</v>
      </c>
      <c r="D17">
        <v>3658</v>
      </c>
    </row>
    <row r="18" spans="2:4" x14ac:dyDescent="0.25">
      <c r="B18">
        <v>12</v>
      </c>
      <c r="C18">
        <v>4102</v>
      </c>
      <c r="D18">
        <v>4276</v>
      </c>
    </row>
    <row r="19" spans="2:4" x14ac:dyDescent="0.25">
      <c r="B19">
        <v>13</v>
      </c>
      <c r="C19">
        <v>4482</v>
      </c>
      <c r="D19">
        <v>2847</v>
      </c>
    </row>
    <row r="20" spans="2:4" x14ac:dyDescent="0.25">
      <c r="B20">
        <v>14</v>
      </c>
      <c r="C20">
        <v>5314</v>
      </c>
      <c r="D20">
        <v>2504</v>
      </c>
    </row>
    <row r="21" spans="2:4" x14ac:dyDescent="0.25">
      <c r="B21">
        <v>15</v>
      </c>
      <c r="C21">
        <v>5952</v>
      </c>
      <c r="D21">
        <v>3291</v>
      </c>
    </row>
    <row r="22" spans="2:4" x14ac:dyDescent="0.25">
      <c r="B22">
        <v>16</v>
      </c>
      <c r="C22">
        <v>5900</v>
      </c>
      <c r="D22">
        <v>3338</v>
      </c>
    </row>
    <row r="23" spans="2:4" x14ac:dyDescent="0.25">
      <c r="B23">
        <v>17</v>
      </c>
      <c r="C23">
        <v>7576</v>
      </c>
      <c r="D23">
        <v>3953</v>
      </c>
    </row>
    <row r="24" spans="2:4" x14ac:dyDescent="0.25">
      <c r="B24">
        <v>18</v>
      </c>
      <c r="C24">
        <v>6797</v>
      </c>
      <c r="D24">
        <v>4074</v>
      </c>
    </row>
    <row r="25" spans="2:4" x14ac:dyDescent="0.25">
      <c r="B25">
        <v>19</v>
      </c>
      <c r="C25">
        <v>7093</v>
      </c>
      <c r="D25">
        <v>4397</v>
      </c>
    </row>
    <row r="26" spans="2:4" x14ac:dyDescent="0.25">
      <c r="B26">
        <v>20</v>
      </c>
      <c r="C26">
        <v>8488</v>
      </c>
      <c r="D26">
        <v>4660</v>
      </c>
    </row>
    <row r="27" spans="2:4" x14ac:dyDescent="0.25">
      <c r="B27">
        <v>21</v>
      </c>
      <c r="C27">
        <v>7599</v>
      </c>
      <c r="D27">
        <v>4397</v>
      </c>
    </row>
    <row r="28" spans="2:4" x14ac:dyDescent="0.25">
      <c r="B28">
        <v>22</v>
      </c>
      <c r="C28">
        <v>8241</v>
      </c>
      <c r="D28">
        <v>4892</v>
      </c>
    </row>
    <row r="29" spans="2:4" x14ac:dyDescent="0.25">
      <c r="B29">
        <v>23</v>
      </c>
      <c r="C29">
        <v>8166</v>
      </c>
      <c r="D29">
        <v>5264</v>
      </c>
    </row>
    <row r="30" spans="2:4" x14ac:dyDescent="0.25">
      <c r="B30">
        <v>24</v>
      </c>
      <c r="C30">
        <v>7436</v>
      </c>
      <c r="D30">
        <v>5915</v>
      </c>
    </row>
    <row r="31" spans="2:4" x14ac:dyDescent="0.25">
      <c r="B31">
        <v>25</v>
      </c>
      <c r="C31">
        <v>6707</v>
      </c>
      <c r="D31">
        <v>4447</v>
      </c>
    </row>
    <row r="32" spans="2:4" x14ac:dyDescent="0.25">
      <c r="B32">
        <v>26</v>
      </c>
      <c r="C32">
        <v>7780</v>
      </c>
      <c r="D32">
        <v>3952</v>
      </c>
    </row>
    <row r="33" spans="2:6" x14ac:dyDescent="0.25">
      <c r="B33">
        <v>27</v>
      </c>
      <c r="C33">
        <v>9947</v>
      </c>
      <c r="D33">
        <v>5829</v>
      </c>
      <c r="F33" s="1"/>
    </row>
    <row r="34" spans="2:6" x14ac:dyDescent="0.25">
      <c r="B34">
        <v>28</v>
      </c>
      <c r="C34">
        <v>9095</v>
      </c>
      <c r="D34">
        <v>6037</v>
      </c>
    </row>
    <row r="35" spans="2:6" x14ac:dyDescent="0.25">
      <c r="B35">
        <v>29</v>
      </c>
      <c r="C35">
        <v>7423</v>
      </c>
      <c r="D35">
        <v>5475</v>
      </c>
    </row>
    <row r="36" spans="2:6" x14ac:dyDescent="0.25">
      <c r="B36">
        <v>30</v>
      </c>
      <c r="C36">
        <v>8635</v>
      </c>
      <c r="D36">
        <v>5560</v>
      </c>
    </row>
    <row r="37" spans="2:6" x14ac:dyDescent="0.25">
      <c r="B37">
        <v>31</v>
      </c>
      <c r="C37">
        <v>8855</v>
      </c>
      <c r="D37">
        <v>6454</v>
      </c>
    </row>
    <row r="38" spans="2:6" x14ac:dyDescent="0.25">
      <c r="B38">
        <v>32</v>
      </c>
      <c r="C38">
        <v>9697</v>
      </c>
      <c r="D38">
        <v>7269</v>
      </c>
    </row>
    <row r="39" spans="2:6" x14ac:dyDescent="0.25">
      <c r="B39">
        <v>33</v>
      </c>
      <c r="C39">
        <v>9115</v>
      </c>
      <c r="D39">
        <v>6524</v>
      </c>
    </row>
    <row r="40" spans="2:6" x14ac:dyDescent="0.25">
      <c r="B40">
        <v>34</v>
      </c>
      <c r="C40">
        <v>10858</v>
      </c>
      <c r="D40">
        <v>7660</v>
      </c>
    </row>
    <row r="41" spans="2:6" x14ac:dyDescent="0.25">
      <c r="B41">
        <v>35</v>
      </c>
      <c r="C41">
        <v>10043</v>
      </c>
      <c r="D41">
        <v>7451</v>
      </c>
    </row>
    <row r="42" spans="2:6" x14ac:dyDescent="0.25">
      <c r="B42">
        <v>36</v>
      </c>
      <c r="C42">
        <v>7379</v>
      </c>
      <c r="D42">
        <v>7403</v>
      </c>
    </row>
    <row r="43" spans="2:6" x14ac:dyDescent="0.25">
      <c r="B43">
        <v>37</v>
      </c>
      <c r="C43">
        <v>6811</v>
      </c>
      <c r="D43">
        <v>6740</v>
      </c>
    </row>
    <row r="44" spans="2:6" x14ac:dyDescent="0.25">
      <c r="B44">
        <v>38</v>
      </c>
      <c r="C44">
        <v>9631</v>
      </c>
      <c r="D44">
        <v>6626</v>
      </c>
    </row>
    <row r="45" spans="2:6" x14ac:dyDescent="0.25">
      <c r="B45">
        <v>39</v>
      </c>
      <c r="C45">
        <v>8319</v>
      </c>
      <c r="D45">
        <v>7366</v>
      </c>
    </row>
    <row r="46" spans="2:6" x14ac:dyDescent="0.25">
      <c r="B46">
        <v>40</v>
      </c>
      <c r="C46">
        <v>9412</v>
      </c>
      <c r="D46">
        <v>8211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D8631-F155-478E-AFA1-4EA86F751663}">
  <dimension ref="C7:E47"/>
  <sheetViews>
    <sheetView topLeftCell="F34" workbookViewId="0">
      <selection activeCell="T57" sqref="T57"/>
    </sheetView>
  </sheetViews>
  <sheetFormatPr defaultRowHeight="15" x14ac:dyDescent="0.25"/>
  <cols>
    <col min="3" max="3" width="20.85546875" customWidth="1"/>
    <col min="4" max="4" width="26.28515625" customWidth="1"/>
    <col min="5" max="5" width="26" customWidth="1"/>
  </cols>
  <sheetData>
    <row r="7" spans="3:5" x14ac:dyDescent="0.25">
      <c r="C7" t="s">
        <v>2</v>
      </c>
      <c r="D7" t="s">
        <v>1</v>
      </c>
      <c r="E7" t="s">
        <v>0</v>
      </c>
    </row>
    <row r="8" spans="3:5" x14ac:dyDescent="0.25">
      <c r="C8">
        <v>1</v>
      </c>
      <c r="D8">
        <v>4158</v>
      </c>
      <c r="E8">
        <v>4266</v>
      </c>
    </row>
    <row r="9" spans="3:5" x14ac:dyDescent="0.25">
      <c r="C9">
        <v>2</v>
      </c>
      <c r="D9">
        <v>5317</v>
      </c>
      <c r="E9">
        <v>3683</v>
      </c>
    </row>
    <row r="10" spans="3:5" x14ac:dyDescent="0.25">
      <c r="C10">
        <v>3</v>
      </c>
      <c r="D10">
        <v>5616</v>
      </c>
      <c r="E10">
        <v>4690</v>
      </c>
    </row>
    <row r="11" spans="3:5" x14ac:dyDescent="0.25">
      <c r="C11">
        <v>4</v>
      </c>
      <c r="D11">
        <v>5197</v>
      </c>
      <c r="E11">
        <v>4098</v>
      </c>
    </row>
    <row r="12" spans="3:5" x14ac:dyDescent="0.25">
      <c r="C12">
        <v>5</v>
      </c>
      <c r="D12">
        <v>5332</v>
      </c>
      <c r="E12">
        <v>3923</v>
      </c>
    </row>
    <row r="13" spans="3:5" x14ac:dyDescent="0.25">
      <c r="C13">
        <v>6</v>
      </c>
      <c r="D13">
        <v>5570</v>
      </c>
      <c r="E13">
        <v>4038</v>
      </c>
    </row>
    <row r="14" spans="3:5" x14ac:dyDescent="0.25">
      <c r="C14">
        <v>7</v>
      </c>
      <c r="D14">
        <v>5091</v>
      </c>
      <c r="E14">
        <v>4492</v>
      </c>
    </row>
    <row r="15" spans="3:5" x14ac:dyDescent="0.25">
      <c r="C15">
        <v>8</v>
      </c>
      <c r="D15">
        <v>5211</v>
      </c>
      <c r="E15">
        <v>4238</v>
      </c>
    </row>
    <row r="16" spans="3:5" x14ac:dyDescent="0.25">
      <c r="C16">
        <v>9</v>
      </c>
      <c r="D16">
        <v>4846</v>
      </c>
      <c r="E16">
        <v>4068</v>
      </c>
    </row>
    <row r="17" spans="3:5" x14ac:dyDescent="0.25">
      <c r="C17">
        <v>10</v>
      </c>
      <c r="D17">
        <v>4635</v>
      </c>
      <c r="E17">
        <v>3324</v>
      </c>
    </row>
    <row r="18" spans="3:5" x14ac:dyDescent="0.25">
      <c r="C18">
        <v>11</v>
      </c>
      <c r="D18">
        <v>5362</v>
      </c>
      <c r="E18">
        <v>3658</v>
      </c>
    </row>
    <row r="19" spans="3:5" x14ac:dyDescent="0.25">
      <c r="C19">
        <v>12</v>
      </c>
      <c r="D19">
        <v>4102</v>
      </c>
      <c r="E19">
        <v>4276</v>
      </c>
    </row>
    <row r="20" spans="3:5" x14ac:dyDescent="0.25">
      <c r="C20">
        <v>13</v>
      </c>
      <c r="D20">
        <v>4482</v>
      </c>
      <c r="E20">
        <v>2847</v>
      </c>
    </row>
    <row r="21" spans="3:5" x14ac:dyDescent="0.25">
      <c r="C21">
        <v>14</v>
      </c>
      <c r="D21">
        <v>5314</v>
      </c>
      <c r="E21">
        <v>2504</v>
      </c>
    </row>
    <row r="22" spans="3:5" x14ac:dyDescent="0.25">
      <c r="C22">
        <v>15</v>
      </c>
      <c r="D22">
        <v>5952</v>
      </c>
      <c r="E22">
        <v>3291</v>
      </c>
    </row>
    <row r="23" spans="3:5" x14ac:dyDescent="0.25">
      <c r="C23">
        <v>16</v>
      </c>
      <c r="D23">
        <v>5900</v>
      </c>
      <c r="E23">
        <v>3338</v>
      </c>
    </row>
    <row r="24" spans="3:5" x14ac:dyDescent="0.25">
      <c r="C24">
        <v>17</v>
      </c>
      <c r="D24">
        <v>7576</v>
      </c>
      <c r="E24">
        <v>3953</v>
      </c>
    </row>
    <row r="25" spans="3:5" x14ac:dyDescent="0.25">
      <c r="C25">
        <v>18</v>
      </c>
      <c r="D25">
        <v>6797</v>
      </c>
      <c r="E25">
        <v>4074</v>
      </c>
    </row>
    <row r="26" spans="3:5" x14ac:dyDescent="0.25">
      <c r="C26">
        <v>19</v>
      </c>
      <c r="D26">
        <v>7093</v>
      </c>
      <c r="E26">
        <v>4397</v>
      </c>
    </row>
    <row r="27" spans="3:5" x14ac:dyDescent="0.25">
      <c r="C27">
        <v>20</v>
      </c>
      <c r="D27">
        <v>8488</v>
      </c>
      <c r="E27">
        <v>4660</v>
      </c>
    </row>
    <row r="28" spans="3:5" x14ac:dyDescent="0.25">
      <c r="C28">
        <v>21</v>
      </c>
      <c r="D28">
        <v>7599</v>
      </c>
      <c r="E28">
        <v>4397</v>
      </c>
    </row>
    <row r="29" spans="3:5" x14ac:dyDescent="0.25">
      <c r="C29">
        <v>22</v>
      </c>
      <c r="D29">
        <v>8241</v>
      </c>
      <c r="E29">
        <v>4892</v>
      </c>
    </row>
    <row r="30" spans="3:5" x14ac:dyDescent="0.25">
      <c r="C30">
        <v>23</v>
      </c>
      <c r="D30">
        <v>8166</v>
      </c>
      <c r="E30">
        <v>5264</v>
      </c>
    </row>
    <row r="31" spans="3:5" x14ac:dyDescent="0.25">
      <c r="C31">
        <v>24</v>
      </c>
      <c r="D31">
        <v>7436</v>
      </c>
      <c r="E31">
        <v>5915</v>
      </c>
    </row>
    <row r="32" spans="3:5" x14ac:dyDescent="0.25">
      <c r="C32">
        <v>25</v>
      </c>
      <c r="D32">
        <v>6707</v>
      </c>
      <c r="E32">
        <v>4447</v>
      </c>
    </row>
    <row r="33" spans="3:5" x14ac:dyDescent="0.25">
      <c r="C33">
        <v>26</v>
      </c>
      <c r="D33">
        <v>7780</v>
      </c>
      <c r="E33">
        <v>3952</v>
      </c>
    </row>
    <row r="34" spans="3:5" x14ac:dyDescent="0.25">
      <c r="C34">
        <v>27</v>
      </c>
      <c r="D34">
        <v>9947</v>
      </c>
      <c r="E34">
        <v>5829</v>
      </c>
    </row>
    <row r="35" spans="3:5" x14ac:dyDescent="0.25">
      <c r="C35">
        <v>28</v>
      </c>
      <c r="D35">
        <v>9095</v>
      </c>
      <c r="E35">
        <v>6037</v>
      </c>
    </row>
    <row r="36" spans="3:5" x14ac:dyDescent="0.25">
      <c r="C36">
        <v>29</v>
      </c>
      <c r="D36">
        <v>7423</v>
      </c>
      <c r="E36">
        <v>5475</v>
      </c>
    </row>
    <row r="37" spans="3:5" x14ac:dyDescent="0.25">
      <c r="C37">
        <v>30</v>
      </c>
      <c r="D37">
        <v>8635</v>
      </c>
      <c r="E37">
        <v>5560</v>
      </c>
    </row>
    <row r="38" spans="3:5" x14ac:dyDescent="0.25">
      <c r="C38">
        <v>31</v>
      </c>
      <c r="D38">
        <v>8855</v>
      </c>
      <c r="E38">
        <v>6454</v>
      </c>
    </row>
    <row r="39" spans="3:5" x14ac:dyDescent="0.25">
      <c r="C39">
        <v>32</v>
      </c>
      <c r="D39">
        <v>9697</v>
      </c>
      <c r="E39">
        <v>7269</v>
      </c>
    </row>
    <row r="40" spans="3:5" x14ac:dyDescent="0.25">
      <c r="C40">
        <v>33</v>
      </c>
      <c r="D40">
        <v>9115</v>
      </c>
      <c r="E40">
        <v>6524</v>
      </c>
    </row>
    <row r="41" spans="3:5" x14ac:dyDescent="0.25">
      <c r="C41">
        <v>34</v>
      </c>
      <c r="D41">
        <v>10858</v>
      </c>
      <c r="E41">
        <v>7660</v>
      </c>
    </row>
    <row r="42" spans="3:5" x14ac:dyDescent="0.25">
      <c r="C42">
        <v>35</v>
      </c>
      <c r="D42">
        <v>10043</v>
      </c>
      <c r="E42">
        <v>7451</v>
      </c>
    </row>
    <row r="43" spans="3:5" x14ac:dyDescent="0.25">
      <c r="C43">
        <v>36</v>
      </c>
      <c r="D43">
        <v>7379</v>
      </c>
      <c r="E43">
        <v>7403</v>
      </c>
    </row>
    <row r="44" spans="3:5" x14ac:dyDescent="0.25">
      <c r="C44">
        <v>37</v>
      </c>
      <c r="D44">
        <v>6811</v>
      </c>
      <c r="E44">
        <v>6740</v>
      </c>
    </row>
    <row r="45" spans="3:5" x14ac:dyDescent="0.25">
      <c r="C45">
        <v>38</v>
      </c>
      <c r="D45">
        <v>9631</v>
      </c>
      <c r="E45">
        <v>6626</v>
      </c>
    </row>
    <row r="46" spans="3:5" x14ac:dyDescent="0.25">
      <c r="C46">
        <v>39</v>
      </c>
      <c r="D46">
        <v>8319</v>
      </c>
      <c r="E46">
        <v>7366</v>
      </c>
    </row>
    <row r="47" spans="3:5" x14ac:dyDescent="0.25">
      <c r="C47">
        <v>40</v>
      </c>
      <c r="D47">
        <v>9412</v>
      </c>
      <c r="E47">
        <v>8211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BC15-039B-4D79-8745-B1352DF32E90}">
  <dimension ref="C7:E47"/>
  <sheetViews>
    <sheetView workbookViewId="0">
      <selection activeCell="L16" sqref="L16"/>
    </sheetView>
  </sheetViews>
  <sheetFormatPr defaultRowHeight="15" x14ac:dyDescent="0.25"/>
  <cols>
    <col min="3" max="3" width="16.85546875" customWidth="1"/>
    <col min="4" max="4" width="21.5703125" customWidth="1"/>
    <col min="5" max="5" width="29.5703125" customWidth="1"/>
  </cols>
  <sheetData>
    <row r="7" spans="3:5" x14ac:dyDescent="0.25">
      <c r="C7" s="3" t="s">
        <v>2</v>
      </c>
      <c r="D7" s="3" t="s">
        <v>3</v>
      </c>
      <c r="E7" s="3" t="s">
        <v>4</v>
      </c>
    </row>
    <row r="8" spans="3:5" x14ac:dyDescent="0.25">
      <c r="C8" s="3">
        <v>1</v>
      </c>
      <c r="D8" s="3">
        <v>1097</v>
      </c>
      <c r="E8" s="3">
        <v>1079</v>
      </c>
    </row>
    <row r="9" spans="3:5" x14ac:dyDescent="0.25">
      <c r="C9" s="3">
        <v>2</v>
      </c>
      <c r="D9" s="3">
        <v>2387</v>
      </c>
      <c r="E9" s="3">
        <v>1886</v>
      </c>
    </row>
    <row r="10" spans="3:5" x14ac:dyDescent="0.25">
      <c r="C10" s="3">
        <v>3</v>
      </c>
      <c r="D10" s="3">
        <v>1998</v>
      </c>
      <c r="E10" s="3">
        <v>2285</v>
      </c>
    </row>
    <row r="11" spans="3:5" x14ac:dyDescent="0.25">
      <c r="C11" s="3">
        <v>4</v>
      </c>
      <c r="D11" s="3">
        <v>3271</v>
      </c>
      <c r="E11" s="3">
        <v>2614</v>
      </c>
    </row>
    <row r="12" spans="3:5" x14ac:dyDescent="0.25">
      <c r="C12" s="3">
        <v>5</v>
      </c>
      <c r="D12" s="3">
        <v>3380</v>
      </c>
      <c r="E12" s="3">
        <v>2993</v>
      </c>
    </row>
    <row r="13" spans="3:5" x14ac:dyDescent="0.25">
      <c r="C13" s="3">
        <v>6</v>
      </c>
      <c r="D13" s="3">
        <v>3768</v>
      </c>
      <c r="E13" s="3">
        <v>3447</v>
      </c>
    </row>
    <row r="14" spans="3:5" x14ac:dyDescent="0.25">
      <c r="C14" s="3">
        <v>7</v>
      </c>
      <c r="D14" s="3">
        <v>4182</v>
      </c>
      <c r="E14" s="3">
        <v>3476</v>
      </c>
    </row>
    <row r="15" spans="3:5" x14ac:dyDescent="0.25">
      <c r="C15" s="3">
        <v>8</v>
      </c>
      <c r="D15" s="3">
        <v>4904</v>
      </c>
      <c r="E15" s="3">
        <v>3804</v>
      </c>
    </row>
    <row r="16" spans="3:5" x14ac:dyDescent="0.25">
      <c r="C16" s="3">
        <v>9</v>
      </c>
      <c r="D16" s="3">
        <v>4169</v>
      </c>
      <c r="E16" s="3">
        <v>4169</v>
      </c>
    </row>
    <row r="17" spans="3:5" x14ac:dyDescent="0.25">
      <c r="C17" s="3">
        <v>10</v>
      </c>
      <c r="D17" s="3">
        <v>5190</v>
      </c>
      <c r="E17" s="3">
        <v>4127</v>
      </c>
    </row>
    <row r="18" spans="3:5" x14ac:dyDescent="0.25">
      <c r="C18" s="3">
        <v>11</v>
      </c>
      <c r="D18" s="3">
        <v>4518</v>
      </c>
      <c r="E18" s="3">
        <v>2880</v>
      </c>
    </row>
    <row r="19" spans="3:5" x14ac:dyDescent="0.25">
      <c r="C19" s="3">
        <v>12</v>
      </c>
      <c r="D19" s="3">
        <v>4578</v>
      </c>
      <c r="E19" s="3">
        <v>3140</v>
      </c>
    </row>
    <row r="20" spans="3:5" x14ac:dyDescent="0.25">
      <c r="C20" s="3">
        <v>13</v>
      </c>
      <c r="D20" s="3">
        <v>1568</v>
      </c>
      <c r="E20" s="3">
        <v>2140</v>
      </c>
    </row>
    <row r="21" spans="3:5" x14ac:dyDescent="0.25">
      <c r="C21" s="3">
        <v>14</v>
      </c>
      <c r="D21" s="3">
        <v>3329</v>
      </c>
      <c r="E21" s="3">
        <v>2478</v>
      </c>
    </row>
    <row r="22" spans="3:5" x14ac:dyDescent="0.25">
      <c r="C22" s="3">
        <v>15</v>
      </c>
      <c r="D22" s="3">
        <v>4366</v>
      </c>
      <c r="E22" s="3">
        <v>2902</v>
      </c>
    </row>
    <row r="23" spans="3:5" x14ac:dyDescent="0.25">
      <c r="C23" s="3">
        <v>16</v>
      </c>
      <c r="D23" s="3">
        <v>4120</v>
      </c>
      <c r="E23" s="3">
        <v>2932</v>
      </c>
    </row>
    <row r="24" spans="3:5" x14ac:dyDescent="0.25">
      <c r="C24" s="3">
        <v>17</v>
      </c>
      <c r="D24" s="3">
        <v>4711</v>
      </c>
      <c r="E24" s="3">
        <v>3566</v>
      </c>
    </row>
    <row r="25" spans="3:5" x14ac:dyDescent="0.25">
      <c r="C25" s="3">
        <v>18</v>
      </c>
      <c r="D25" s="3">
        <v>4323</v>
      </c>
      <c r="E25" s="3">
        <v>3338</v>
      </c>
    </row>
    <row r="26" spans="3:5" x14ac:dyDescent="0.25">
      <c r="C26" s="3">
        <v>19</v>
      </c>
      <c r="D26" s="3">
        <v>4467</v>
      </c>
      <c r="E26" s="3">
        <v>3305</v>
      </c>
    </row>
    <row r="27" spans="3:5" x14ac:dyDescent="0.25">
      <c r="C27" s="3">
        <v>20</v>
      </c>
      <c r="D27" s="3">
        <v>3875</v>
      </c>
      <c r="E27" s="3">
        <v>3411</v>
      </c>
    </row>
    <row r="28" spans="3:5" x14ac:dyDescent="0.25">
      <c r="C28" s="3">
        <v>21</v>
      </c>
      <c r="D28" s="3">
        <v>3101</v>
      </c>
      <c r="E28" s="3">
        <v>3542</v>
      </c>
    </row>
    <row r="29" spans="3:5" x14ac:dyDescent="0.25">
      <c r="C29" s="3">
        <v>22</v>
      </c>
      <c r="D29" s="3">
        <v>2990</v>
      </c>
      <c r="E29" s="3">
        <v>2985</v>
      </c>
    </row>
    <row r="30" spans="3:5" x14ac:dyDescent="0.25">
      <c r="C30" s="3">
        <v>23</v>
      </c>
      <c r="D30" s="3">
        <v>2679</v>
      </c>
      <c r="E30" s="3">
        <v>2300</v>
      </c>
    </row>
    <row r="31" spans="3:5" x14ac:dyDescent="0.25">
      <c r="C31" s="3">
        <v>24</v>
      </c>
      <c r="D31" s="3">
        <v>1564</v>
      </c>
      <c r="E31" s="3">
        <v>2627</v>
      </c>
    </row>
    <row r="32" spans="3:5" x14ac:dyDescent="0.25">
      <c r="C32" s="3">
        <v>25</v>
      </c>
      <c r="D32" s="3">
        <v>1683</v>
      </c>
      <c r="E32" s="3">
        <v>1145</v>
      </c>
    </row>
    <row r="33" spans="3:5" x14ac:dyDescent="0.25">
      <c r="C33" s="3">
        <v>26</v>
      </c>
      <c r="D33" s="3">
        <v>2727</v>
      </c>
      <c r="E33" s="3">
        <v>1859</v>
      </c>
    </row>
    <row r="34" spans="3:5" x14ac:dyDescent="0.25">
      <c r="C34" s="3">
        <v>27</v>
      </c>
      <c r="D34" s="3">
        <v>4100</v>
      </c>
      <c r="E34" s="3">
        <v>2843</v>
      </c>
    </row>
    <row r="35" spans="3:5" x14ac:dyDescent="0.25">
      <c r="C35" s="3">
        <v>28</v>
      </c>
      <c r="D35" s="3">
        <v>3821</v>
      </c>
      <c r="E35" s="3">
        <v>3492</v>
      </c>
    </row>
    <row r="36" spans="3:5" x14ac:dyDescent="0.25">
      <c r="C36" s="3">
        <v>29</v>
      </c>
      <c r="D36" s="3">
        <v>3499</v>
      </c>
      <c r="E36" s="3">
        <v>2830</v>
      </c>
    </row>
    <row r="37" spans="3:5" x14ac:dyDescent="0.25">
      <c r="C37" s="3">
        <v>30</v>
      </c>
      <c r="D37" s="3">
        <v>4002</v>
      </c>
      <c r="E37" s="3">
        <v>4184</v>
      </c>
    </row>
    <row r="38" spans="3:5" x14ac:dyDescent="0.25">
      <c r="C38" s="3">
        <v>31</v>
      </c>
      <c r="D38" s="3">
        <v>5223</v>
      </c>
      <c r="E38" s="3">
        <v>4023</v>
      </c>
    </row>
    <row r="39" spans="3:5" x14ac:dyDescent="0.25">
      <c r="C39" s="3">
        <v>32</v>
      </c>
      <c r="D39" s="3">
        <v>5279</v>
      </c>
      <c r="E39" s="3">
        <v>4235</v>
      </c>
    </row>
    <row r="40" spans="3:5" x14ac:dyDescent="0.25">
      <c r="C40" s="3">
        <v>33</v>
      </c>
      <c r="D40" s="3">
        <v>4285</v>
      </c>
      <c r="E40" s="3">
        <v>4025</v>
      </c>
    </row>
    <row r="41" spans="3:5" x14ac:dyDescent="0.25">
      <c r="C41" s="3">
        <v>34</v>
      </c>
      <c r="D41" s="3">
        <v>5874</v>
      </c>
      <c r="E41" s="3">
        <v>3999</v>
      </c>
    </row>
    <row r="42" spans="3:5" x14ac:dyDescent="0.25">
      <c r="C42" s="3">
        <v>35</v>
      </c>
      <c r="D42" s="3">
        <v>5013</v>
      </c>
      <c r="E42" s="3">
        <v>2819</v>
      </c>
    </row>
    <row r="43" spans="3:5" x14ac:dyDescent="0.25">
      <c r="C43" s="3">
        <v>36</v>
      </c>
      <c r="D43" s="3">
        <v>4345</v>
      </c>
      <c r="E43" s="3">
        <v>3087</v>
      </c>
    </row>
    <row r="44" spans="3:5" x14ac:dyDescent="0.25">
      <c r="C44" s="3">
        <v>37</v>
      </c>
      <c r="D44" s="3">
        <v>1638</v>
      </c>
      <c r="E44" s="3">
        <v>1964</v>
      </c>
    </row>
    <row r="45" spans="3:5" x14ac:dyDescent="0.25">
      <c r="C45" s="3">
        <v>38</v>
      </c>
      <c r="D45" s="3">
        <v>1906</v>
      </c>
      <c r="E45" s="3">
        <v>1946</v>
      </c>
    </row>
    <row r="46" spans="3:5" x14ac:dyDescent="0.25">
      <c r="C46" s="3">
        <v>38</v>
      </c>
      <c r="D46" s="3">
        <v>2914</v>
      </c>
      <c r="E46" s="3">
        <v>2821</v>
      </c>
    </row>
    <row r="47" spans="3:5" x14ac:dyDescent="0.25">
      <c r="C47" s="3">
        <v>40</v>
      </c>
      <c r="D47" s="3">
        <v>3062</v>
      </c>
      <c r="E47" s="3">
        <v>2486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5E645-AE77-4081-AA0C-187E2CD32406}">
  <dimension ref="C8:E48"/>
  <sheetViews>
    <sheetView topLeftCell="A20" workbookViewId="0">
      <selection activeCell="E8" sqref="E8:E48"/>
    </sheetView>
  </sheetViews>
  <sheetFormatPr defaultRowHeight="15" x14ac:dyDescent="0.25"/>
  <cols>
    <col min="3" max="3" width="22" customWidth="1"/>
    <col min="4" max="4" width="29.85546875" customWidth="1"/>
    <col min="5" max="5" width="29.7109375" customWidth="1"/>
  </cols>
  <sheetData>
    <row r="8" spans="3:5" x14ac:dyDescent="0.25">
      <c r="C8" s="3" t="s">
        <v>2</v>
      </c>
      <c r="D8" s="3" t="s">
        <v>3</v>
      </c>
      <c r="E8" s="3" t="s">
        <v>4</v>
      </c>
    </row>
    <row r="9" spans="3:5" x14ac:dyDescent="0.25">
      <c r="C9" s="3">
        <v>1</v>
      </c>
      <c r="D9" s="3">
        <v>1097</v>
      </c>
      <c r="E9" s="3">
        <v>1079</v>
      </c>
    </row>
    <row r="10" spans="3:5" x14ac:dyDescent="0.25">
      <c r="C10" s="3">
        <v>2</v>
      </c>
      <c r="D10" s="3">
        <v>2387</v>
      </c>
      <c r="E10" s="3">
        <v>1886</v>
      </c>
    </row>
    <row r="11" spans="3:5" x14ac:dyDescent="0.25">
      <c r="C11" s="3">
        <v>3</v>
      </c>
      <c r="D11" s="3">
        <v>1998</v>
      </c>
      <c r="E11" s="3">
        <v>2285</v>
      </c>
    </row>
    <row r="12" spans="3:5" x14ac:dyDescent="0.25">
      <c r="C12" s="3">
        <v>4</v>
      </c>
      <c r="D12" s="3">
        <v>3271</v>
      </c>
      <c r="E12" s="3">
        <v>2614</v>
      </c>
    </row>
    <row r="13" spans="3:5" x14ac:dyDescent="0.25">
      <c r="C13" s="3">
        <v>5</v>
      </c>
      <c r="D13" s="3">
        <v>3380</v>
      </c>
      <c r="E13" s="3">
        <v>2993</v>
      </c>
    </row>
    <row r="14" spans="3:5" x14ac:dyDescent="0.25">
      <c r="C14" s="3">
        <v>6</v>
      </c>
      <c r="D14" s="3">
        <v>3768</v>
      </c>
      <c r="E14" s="3">
        <v>3447</v>
      </c>
    </row>
    <row r="15" spans="3:5" x14ac:dyDescent="0.25">
      <c r="C15" s="3">
        <v>7</v>
      </c>
      <c r="D15" s="3">
        <v>4182</v>
      </c>
      <c r="E15" s="3">
        <v>3476</v>
      </c>
    </row>
    <row r="16" spans="3:5" x14ac:dyDescent="0.25">
      <c r="C16" s="3">
        <v>8</v>
      </c>
      <c r="D16" s="3">
        <v>4904</v>
      </c>
      <c r="E16" s="3">
        <v>3804</v>
      </c>
    </row>
    <row r="17" spans="3:5" x14ac:dyDescent="0.25">
      <c r="C17" s="3">
        <v>9</v>
      </c>
      <c r="D17" s="3">
        <v>4169</v>
      </c>
      <c r="E17" s="3">
        <v>4169</v>
      </c>
    </row>
    <row r="18" spans="3:5" x14ac:dyDescent="0.25">
      <c r="C18" s="3">
        <v>10</v>
      </c>
      <c r="D18" s="3">
        <v>5190</v>
      </c>
      <c r="E18" s="3">
        <v>4127</v>
      </c>
    </row>
    <row r="19" spans="3:5" x14ac:dyDescent="0.25">
      <c r="C19" s="3">
        <v>11</v>
      </c>
      <c r="D19" s="3">
        <v>4518</v>
      </c>
      <c r="E19" s="3">
        <v>2880</v>
      </c>
    </row>
    <row r="20" spans="3:5" x14ac:dyDescent="0.25">
      <c r="C20" s="3">
        <v>12</v>
      </c>
      <c r="D20" s="3">
        <v>4578</v>
      </c>
      <c r="E20" s="3">
        <v>3140</v>
      </c>
    </row>
    <row r="21" spans="3:5" x14ac:dyDescent="0.25">
      <c r="C21" s="3">
        <v>13</v>
      </c>
      <c r="D21" s="3">
        <v>1568</v>
      </c>
      <c r="E21" s="3">
        <v>2140</v>
      </c>
    </row>
    <row r="22" spans="3:5" x14ac:dyDescent="0.25">
      <c r="C22" s="3">
        <v>14</v>
      </c>
      <c r="D22" s="3">
        <v>3329</v>
      </c>
      <c r="E22" s="3">
        <v>2478</v>
      </c>
    </row>
    <row r="23" spans="3:5" x14ac:dyDescent="0.25">
      <c r="C23" s="3">
        <v>15</v>
      </c>
      <c r="D23" s="3">
        <v>4366</v>
      </c>
      <c r="E23" s="3">
        <v>2902</v>
      </c>
    </row>
    <row r="24" spans="3:5" x14ac:dyDescent="0.25">
      <c r="C24" s="3">
        <v>16</v>
      </c>
      <c r="D24" s="3">
        <v>4120</v>
      </c>
      <c r="E24" s="3">
        <v>2932</v>
      </c>
    </row>
    <row r="25" spans="3:5" x14ac:dyDescent="0.25">
      <c r="C25" s="3">
        <v>17</v>
      </c>
      <c r="D25" s="3">
        <v>4711</v>
      </c>
      <c r="E25" s="3">
        <v>3566</v>
      </c>
    </row>
    <row r="26" spans="3:5" x14ac:dyDescent="0.25">
      <c r="C26" s="3">
        <v>18</v>
      </c>
      <c r="D26" s="3">
        <v>4323</v>
      </c>
      <c r="E26" s="3">
        <v>3338</v>
      </c>
    </row>
    <row r="27" spans="3:5" x14ac:dyDescent="0.25">
      <c r="C27" s="3">
        <v>19</v>
      </c>
      <c r="D27" s="3">
        <v>4467</v>
      </c>
      <c r="E27" s="3">
        <v>3305</v>
      </c>
    </row>
    <row r="28" spans="3:5" x14ac:dyDescent="0.25">
      <c r="C28" s="3">
        <v>20</v>
      </c>
      <c r="D28" s="3">
        <v>3875</v>
      </c>
      <c r="E28" s="3">
        <v>3411</v>
      </c>
    </row>
    <row r="29" spans="3:5" x14ac:dyDescent="0.25">
      <c r="C29" s="3">
        <v>21</v>
      </c>
      <c r="D29" s="3">
        <v>3101</v>
      </c>
      <c r="E29" s="3">
        <v>3542</v>
      </c>
    </row>
    <row r="30" spans="3:5" x14ac:dyDescent="0.25">
      <c r="C30" s="3">
        <v>22</v>
      </c>
      <c r="D30" s="3">
        <v>2990</v>
      </c>
      <c r="E30" s="3">
        <v>2985</v>
      </c>
    </row>
    <row r="31" spans="3:5" x14ac:dyDescent="0.25">
      <c r="C31" s="3">
        <v>23</v>
      </c>
      <c r="D31" s="3">
        <v>2679</v>
      </c>
      <c r="E31" s="3">
        <v>2300</v>
      </c>
    </row>
    <row r="32" spans="3:5" x14ac:dyDescent="0.25">
      <c r="C32" s="3">
        <v>24</v>
      </c>
      <c r="D32" s="3">
        <v>1564</v>
      </c>
      <c r="E32" s="3">
        <v>2627</v>
      </c>
    </row>
    <row r="33" spans="3:5" x14ac:dyDescent="0.25">
      <c r="C33" s="3">
        <v>25</v>
      </c>
      <c r="D33" s="3">
        <v>1683</v>
      </c>
      <c r="E33" s="3">
        <v>1145</v>
      </c>
    </row>
    <row r="34" spans="3:5" x14ac:dyDescent="0.25">
      <c r="C34" s="3">
        <v>26</v>
      </c>
      <c r="D34" s="3">
        <v>2727</v>
      </c>
      <c r="E34" s="3">
        <v>1859</v>
      </c>
    </row>
    <row r="35" spans="3:5" x14ac:dyDescent="0.25">
      <c r="C35" s="3">
        <v>27</v>
      </c>
      <c r="D35" s="3">
        <v>4100</v>
      </c>
      <c r="E35" s="3">
        <v>2843</v>
      </c>
    </row>
    <row r="36" spans="3:5" x14ac:dyDescent="0.25">
      <c r="C36" s="3">
        <v>28</v>
      </c>
      <c r="D36" s="3">
        <v>3821</v>
      </c>
      <c r="E36" s="3">
        <v>3492</v>
      </c>
    </row>
    <row r="37" spans="3:5" x14ac:dyDescent="0.25">
      <c r="C37" s="3">
        <v>29</v>
      </c>
      <c r="D37" s="3">
        <v>3499</v>
      </c>
      <c r="E37" s="3">
        <v>2830</v>
      </c>
    </row>
    <row r="38" spans="3:5" x14ac:dyDescent="0.25">
      <c r="C38" s="3">
        <v>30</v>
      </c>
      <c r="D38" s="3">
        <v>4002</v>
      </c>
      <c r="E38" s="3">
        <v>4184</v>
      </c>
    </row>
    <row r="39" spans="3:5" x14ac:dyDescent="0.25">
      <c r="C39" s="3">
        <v>31</v>
      </c>
      <c r="D39" s="3">
        <v>5223</v>
      </c>
      <c r="E39" s="3">
        <v>4023</v>
      </c>
    </row>
    <row r="40" spans="3:5" x14ac:dyDescent="0.25">
      <c r="C40" s="3">
        <v>32</v>
      </c>
      <c r="D40" s="3">
        <v>5279</v>
      </c>
      <c r="E40" s="3">
        <v>4235</v>
      </c>
    </row>
    <row r="41" spans="3:5" x14ac:dyDescent="0.25">
      <c r="C41" s="3">
        <v>33</v>
      </c>
      <c r="D41" s="3">
        <v>4285</v>
      </c>
      <c r="E41" s="3">
        <v>4025</v>
      </c>
    </row>
    <row r="42" spans="3:5" x14ac:dyDescent="0.25">
      <c r="C42" s="3">
        <v>34</v>
      </c>
      <c r="D42" s="3">
        <v>5874</v>
      </c>
      <c r="E42" s="3">
        <v>3999</v>
      </c>
    </row>
    <row r="43" spans="3:5" x14ac:dyDescent="0.25">
      <c r="C43" s="3">
        <v>35</v>
      </c>
      <c r="D43" s="3">
        <v>5013</v>
      </c>
      <c r="E43" s="3">
        <v>2819</v>
      </c>
    </row>
    <row r="44" spans="3:5" x14ac:dyDescent="0.25">
      <c r="C44" s="3">
        <v>36</v>
      </c>
      <c r="D44" s="3">
        <v>4345</v>
      </c>
      <c r="E44" s="3">
        <v>3087</v>
      </c>
    </row>
    <row r="45" spans="3:5" x14ac:dyDescent="0.25">
      <c r="C45" s="3">
        <v>37</v>
      </c>
      <c r="D45" s="3">
        <v>1638</v>
      </c>
      <c r="E45" s="3">
        <v>1964</v>
      </c>
    </row>
    <row r="46" spans="3:5" x14ac:dyDescent="0.25">
      <c r="C46" s="3">
        <v>38</v>
      </c>
      <c r="D46" s="3">
        <v>1906</v>
      </c>
      <c r="E46" s="3">
        <v>1946</v>
      </c>
    </row>
    <row r="47" spans="3:5" x14ac:dyDescent="0.25">
      <c r="C47" s="3">
        <v>38</v>
      </c>
      <c r="D47" s="3">
        <v>2914</v>
      </c>
      <c r="E47" s="3">
        <v>2821</v>
      </c>
    </row>
    <row r="48" spans="3:5" x14ac:dyDescent="0.25">
      <c r="C48" s="3">
        <v>40</v>
      </c>
      <c r="D48" s="3">
        <v>3062</v>
      </c>
      <c r="E48" s="3">
        <v>2486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A6B6-18AE-4CED-A135-145690BB7713}">
  <dimension ref="C4:D44"/>
  <sheetViews>
    <sheetView topLeftCell="A4" workbookViewId="0">
      <selection activeCell="I26" sqref="I26"/>
    </sheetView>
  </sheetViews>
  <sheetFormatPr defaultRowHeight="15" x14ac:dyDescent="0.25"/>
  <cols>
    <col min="3" max="3" width="31.42578125" customWidth="1"/>
    <col min="4" max="4" width="31" customWidth="1"/>
  </cols>
  <sheetData>
    <row r="4" spans="3:4" x14ac:dyDescent="0.25">
      <c r="C4" s="3" t="s">
        <v>5</v>
      </c>
      <c r="D4" s="2" t="s">
        <v>4</v>
      </c>
    </row>
    <row r="5" spans="3:4" x14ac:dyDescent="0.25">
      <c r="C5" s="3">
        <v>40.53</v>
      </c>
      <c r="D5" s="4">
        <v>1079</v>
      </c>
    </row>
    <row r="6" spans="3:4" x14ac:dyDescent="0.25">
      <c r="C6" s="3">
        <v>55.15</v>
      </c>
      <c r="D6" s="4">
        <v>1886</v>
      </c>
    </row>
    <row r="7" spans="3:4" x14ac:dyDescent="0.25">
      <c r="C7" s="3">
        <v>59.95</v>
      </c>
      <c r="D7" s="4">
        <v>2285</v>
      </c>
    </row>
    <row r="8" spans="3:4" x14ac:dyDescent="0.25">
      <c r="C8" s="3">
        <v>70.17</v>
      </c>
      <c r="D8" s="4">
        <v>2614</v>
      </c>
    </row>
    <row r="9" spans="3:4" x14ac:dyDescent="0.25">
      <c r="C9" s="3">
        <v>77.56</v>
      </c>
      <c r="D9" s="4">
        <v>2993</v>
      </c>
    </row>
    <row r="10" spans="3:4" x14ac:dyDescent="0.25">
      <c r="C10" s="3">
        <v>86.29</v>
      </c>
      <c r="D10" s="4">
        <v>3447</v>
      </c>
    </row>
    <row r="11" spans="3:4" x14ac:dyDescent="0.25">
      <c r="C11" s="3">
        <v>89.93</v>
      </c>
      <c r="D11" s="4">
        <v>3476</v>
      </c>
    </row>
    <row r="12" spans="3:4" x14ac:dyDescent="0.25">
      <c r="C12" s="3">
        <v>94.89</v>
      </c>
      <c r="D12" s="4">
        <v>3804</v>
      </c>
    </row>
    <row r="13" spans="3:4" x14ac:dyDescent="0.25">
      <c r="C13" s="3">
        <v>99.35</v>
      </c>
      <c r="D13" s="4">
        <v>4169</v>
      </c>
    </row>
    <row r="14" spans="3:4" x14ac:dyDescent="0.25">
      <c r="C14" s="3">
        <v>98.45</v>
      </c>
      <c r="D14" s="4">
        <v>4127</v>
      </c>
    </row>
    <row r="15" spans="3:4" x14ac:dyDescent="0.25">
      <c r="C15" s="3">
        <v>77.16</v>
      </c>
      <c r="D15" s="4">
        <v>2880</v>
      </c>
    </row>
    <row r="16" spans="3:4" x14ac:dyDescent="0.25">
      <c r="C16" s="3">
        <v>77.95</v>
      </c>
      <c r="D16" s="4">
        <v>3140</v>
      </c>
    </row>
    <row r="17" spans="3:4" x14ac:dyDescent="0.25">
      <c r="C17" s="3">
        <v>54.57</v>
      </c>
      <c r="D17" s="4">
        <v>2140</v>
      </c>
    </row>
    <row r="18" spans="3:4" x14ac:dyDescent="0.25">
      <c r="C18" s="3">
        <v>60.71</v>
      </c>
      <c r="D18" s="4">
        <v>2478</v>
      </c>
    </row>
    <row r="19" spans="3:4" x14ac:dyDescent="0.25">
      <c r="C19" s="3">
        <v>72.98</v>
      </c>
      <c r="D19" s="4">
        <v>2902</v>
      </c>
    </row>
    <row r="20" spans="3:4" x14ac:dyDescent="0.25">
      <c r="C20" s="3">
        <v>72.010000000000005</v>
      </c>
      <c r="D20" s="4">
        <v>2932</v>
      </c>
    </row>
    <row r="21" spans="3:4" x14ac:dyDescent="0.25">
      <c r="C21" s="3">
        <v>87.95</v>
      </c>
      <c r="D21" s="4">
        <v>3566</v>
      </c>
    </row>
    <row r="22" spans="3:4" x14ac:dyDescent="0.25">
      <c r="C22" s="3">
        <v>83.15</v>
      </c>
      <c r="D22" s="4">
        <v>3338</v>
      </c>
    </row>
    <row r="23" spans="3:4" x14ac:dyDescent="0.25">
      <c r="C23" s="3">
        <v>83.65</v>
      </c>
      <c r="D23" s="4">
        <v>3305</v>
      </c>
    </row>
    <row r="24" spans="3:4" x14ac:dyDescent="0.25">
      <c r="C24" s="3">
        <v>89.07</v>
      </c>
      <c r="D24" s="4">
        <v>3411</v>
      </c>
    </row>
    <row r="25" spans="3:4" x14ac:dyDescent="0.25">
      <c r="C25" s="3">
        <v>89.97</v>
      </c>
      <c r="D25" s="4">
        <v>3542</v>
      </c>
    </row>
    <row r="26" spans="3:4" x14ac:dyDescent="0.25">
      <c r="C26" s="3">
        <v>79.25</v>
      </c>
      <c r="D26" s="4">
        <v>2985</v>
      </c>
    </row>
    <row r="27" spans="3:4" x14ac:dyDescent="0.25">
      <c r="C27" s="3">
        <v>58.56</v>
      </c>
      <c r="D27" s="4">
        <v>2300</v>
      </c>
    </row>
    <row r="28" spans="3:4" x14ac:dyDescent="0.25">
      <c r="C28" s="3">
        <v>69.75</v>
      </c>
      <c r="D28" s="4">
        <v>2627</v>
      </c>
    </row>
    <row r="29" spans="3:4" x14ac:dyDescent="0.25">
      <c r="C29" s="3">
        <v>32.049999999999997</v>
      </c>
      <c r="D29" s="4">
        <v>1145</v>
      </c>
    </row>
    <row r="30" spans="3:4" x14ac:dyDescent="0.25">
      <c r="C30" s="3">
        <v>45.27</v>
      </c>
      <c r="D30" s="4">
        <v>1859</v>
      </c>
    </row>
    <row r="31" spans="3:4" x14ac:dyDescent="0.25">
      <c r="C31" s="3">
        <v>72.75</v>
      </c>
      <c r="D31" s="4">
        <v>2843</v>
      </c>
    </row>
    <row r="32" spans="3:4" x14ac:dyDescent="0.25">
      <c r="C32" s="3">
        <v>85.9</v>
      </c>
      <c r="D32" s="4">
        <v>3492</v>
      </c>
    </row>
    <row r="33" spans="3:4" x14ac:dyDescent="0.25">
      <c r="C33" s="3">
        <v>70.05</v>
      </c>
      <c r="D33" s="4">
        <v>2830</v>
      </c>
    </row>
    <row r="34" spans="3:4" x14ac:dyDescent="0.25">
      <c r="C34" s="3">
        <v>99.15</v>
      </c>
      <c r="D34" s="4">
        <v>4184</v>
      </c>
    </row>
    <row r="35" spans="3:4" x14ac:dyDescent="0.25">
      <c r="C35" s="3">
        <v>96.01</v>
      </c>
      <c r="D35" s="4">
        <v>4023</v>
      </c>
    </row>
    <row r="36" spans="3:4" x14ac:dyDescent="0.25">
      <c r="C36" s="3">
        <v>95.95</v>
      </c>
      <c r="D36" s="4">
        <v>4235</v>
      </c>
    </row>
    <row r="37" spans="3:4" x14ac:dyDescent="0.25">
      <c r="C37" s="3">
        <v>98.05</v>
      </c>
      <c r="D37" s="4">
        <v>4025</v>
      </c>
    </row>
    <row r="38" spans="3:4" x14ac:dyDescent="0.25">
      <c r="C38" s="3">
        <v>95.72</v>
      </c>
      <c r="D38" s="4">
        <v>3999</v>
      </c>
    </row>
    <row r="39" spans="3:4" x14ac:dyDescent="0.25">
      <c r="C39" s="3">
        <v>77.87</v>
      </c>
      <c r="D39" s="4">
        <v>2819</v>
      </c>
    </row>
    <row r="40" spans="3:4" x14ac:dyDescent="0.25">
      <c r="C40" s="3">
        <v>78.150000000000006</v>
      </c>
      <c r="D40" s="4">
        <v>3087</v>
      </c>
    </row>
    <row r="41" spans="3:4" x14ac:dyDescent="0.25">
      <c r="C41" s="3">
        <v>54.57</v>
      </c>
      <c r="D41" s="4">
        <v>1964</v>
      </c>
    </row>
    <row r="42" spans="3:4" x14ac:dyDescent="0.25">
      <c r="C42" s="3">
        <v>57.83</v>
      </c>
      <c r="D42" s="4">
        <v>1946</v>
      </c>
    </row>
    <row r="43" spans="3:4" x14ac:dyDescent="0.25">
      <c r="C43" s="3">
        <v>75.12</v>
      </c>
      <c r="D43" s="4">
        <v>2821</v>
      </c>
    </row>
    <row r="44" spans="3:4" x14ac:dyDescent="0.25">
      <c r="C44" s="3">
        <v>67.75</v>
      </c>
      <c r="D44" s="5">
        <v>2486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6F0A-7948-4928-A06D-0B2329F1D305}">
  <dimension ref="C6:I52"/>
  <sheetViews>
    <sheetView tabSelected="1" topLeftCell="F1" workbookViewId="0">
      <selection activeCell="AA61" sqref="AA61"/>
    </sheetView>
  </sheetViews>
  <sheetFormatPr defaultRowHeight="15" x14ac:dyDescent="0.25"/>
  <cols>
    <col min="3" max="3" width="26" customWidth="1"/>
    <col min="4" max="4" width="26.140625" customWidth="1"/>
  </cols>
  <sheetData>
    <row r="6" spans="3:4" x14ac:dyDescent="0.25">
      <c r="C6" s="3" t="s">
        <v>5</v>
      </c>
      <c r="D6" s="2" t="s">
        <v>4</v>
      </c>
    </row>
    <row r="7" spans="3:4" x14ac:dyDescent="0.25">
      <c r="C7" s="3">
        <v>40.53</v>
      </c>
      <c r="D7" s="4">
        <v>1079</v>
      </c>
    </row>
    <row r="8" spans="3:4" x14ac:dyDescent="0.25">
      <c r="C8" s="3">
        <v>55.15</v>
      </c>
      <c r="D8" s="4">
        <v>1886</v>
      </c>
    </row>
    <row r="9" spans="3:4" x14ac:dyDescent="0.25">
      <c r="C9" s="3">
        <v>59.95</v>
      </c>
      <c r="D9" s="4">
        <v>2285</v>
      </c>
    </row>
    <row r="10" spans="3:4" x14ac:dyDescent="0.25">
      <c r="C10" s="3">
        <v>70.17</v>
      </c>
      <c r="D10" s="4">
        <v>2614</v>
      </c>
    </row>
    <row r="11" spans="3:4" x14ac:dyDescent="0.25">
      <c r="C11" s="3">
        <v>77.56</v>
      </c>
      <c r="D11" s="4">
        <v>2993</v>
      </c>
    </row>
    <row r="12" spans="3:4" x14ac:dyDescent="0.25">
      <c r="C12" s="3">
        <v>86.29</v>
      </c>
      <c r="D12" s="4">
        <v>3447</v>
      </c>
    </row>
    <row r="13" spans="3:4" x14ac:dyDescent="0.25">
      <c r="C13" s="3">
        <v>89.93</v>
      </c>
      <c r="D13" s="4">
        <v>3476</v>
      </c>
    </row>
    <row r="14" spans="3:4" x14ac:dyDescent="0.25">
      <c r="C14" s="3">
        <v>94.89</v>
      </c>
      <c r="D14" s="4">
        <v>3804</v>
      </c>
    </row>
    <row r="15" spans="3:4" x14ac:dyDescent="0.25">
      <c r="C15" s="3">
        <v>99.35</v>
      </c>
      <c r="D15" s="4">
        <v>4169</v>
      </c>
    </row>
    <row r="16" spans="3:4" x14ac:dyDescent="0.25">
      <c r="C16" s="3">
        <v>98.45</v>
      </c>
      <c r="D16" s="4">
        <v>4127</v>
      </c>
    </row>
    <row r="17" spans="3:4" x14ac:dyDescent="0.25">
      <c r="C17" s="3">
        <v>77.16</v>
      </c>
      <c r="D17" s="4">
        <v>2880</v>
      </c>
    </row>
    <row r="18" spans="3:4" x14ac:dyDescent="0.25">
      <c r="C18" s="3">
        <v>77.95</v>
      </c>
      <c r="D18" s="4">
        <v>3140</v>
      </c>
    </row>
    <row r="19" spans="3:4" x14ac:dyDescent="0.25">
      <c r="C19" s="3">
        <v>54.57</v>
      </c>
      <c r="D19" s="4">
        <v>2140</v>
      </c>
    </row>
    <row r="20" spans="3:4" x14ac:dyDescent="0.25">
      <c r="C20" s="3">
        <v>60.71</v>
      </c>
      <c r="D20" s="4">
        <v>2478</v>
      </c>
    </row>
    <row r="21" spans="3:4" x14ac:dyDescent="0.25">
      <c r="C21" s="3">
        <v>72.98</v>
      </c>
      <c r="D21" s="4">
        <v>2902</v>
      </c>
    </row>
    <row r="22" spans="3:4" x14ac:dyDescent="0.25">
      <c r="C22" s="3">
        <v>72.010000000000005</v>
      </c>
      <c r="D22" s="4">
        <v>2932</v>
      </c>
    </row>
    <row r="23" spans="3:4" x14ac:dyDescent="0.25">
      <c r="C23" s="3">
        <v>87.95</v>
      </c>
      <c r="D23" s="4">
        <v>3566</v>
      </c>
    </row>
    <row r="24" spans="3:4" x14ac:dyDescent="0.25">
      <c r="C24" s="3">
        <v>83.15</v>
      </c>
      <c r="D24" s="4">
        <v>3338</v>
      </c>
    </row>
    <row r="25" spans="3:4" x14ac:dyDescent="0.25">
      <c r="C25" s="3">
        <v>83.65</v>
      </c>
      <c r="D25" s="4">
        <v>3305</v>
      </c>
    </row>
    <row r="26" spans="3:4" x14ac:dyDescent="0.25">
      <c r="C26" s="3">
        <v>89.07</v>
      </c>
      <c r="D26" s="4">
        <v>3411</v>
      </c>
    </row>
    <row r="27" spans="3:4" x14ac:dyDescent="0.25">
      <c r="C27" s="3">
        <v>89.97</v>
      </c>
      <c r="D27" s="4">
        <v>3542</v>
      </c>
    </row>
    <row r="28" spans="3:4" x14ac:dyDescent="0.25">
      <c r="C28" s="3">
        <v>79.25</v>
      </c>
      <c r="D28" s="4">
        <v>2985</v>
      </c>
    </row>
    <row r="29" spans="3:4" x14ac:dyDescent="0.25">
      <c r="C29" s="3">
        <v>58.56</v>
      </c>
      <c r="D29" s="4">
        <v>2300</v>
      </c>
    </row>
    <row r="30" spans="3:4" x14ac:dyDescent="0.25">
      <c r="C30" s="3">
        <v>69.75</v>
      </c>
      <c r="D30" s="4">
        <v>2627</v>
      </c>
    </row>
    <row r="31" spans="3:4" x14ac:dyDescent="0.25">
      <c r="C31" s="3">
        <v>32.049999999999997</v>
      </c>
      <c r="D31" s="4">
        <v>1145</v>
      </c>
    </row>
    <row r="32" spans="3:4" x14ac:dyDescent="0.25">
      <c r="C32" s="3">
        <v>45.27</v>
      </c>
      <c r="D32" s="4">
        <v>1859</v>
      </c>
    </row>
    <row r="33" spans="3:9" x14ac:dyDescent="0.25">
      <c r="C33" s="3">
        <v>72.75</v>
      </c>
      <c r="D33" s="4">
        <v>2843</v>
      </c>
    </row>
    <row r="34" spans="3:9" x14ac:dyDescent="0.25">
      <c r="C34" s="3">
        <v>85.9</v>
      </c>
      <c r="D34" s="4">
        <v>3492</v>
      </c>
    </row>
    <row r="35" spans="3:9" x14ac:dyDescent="0.25">
      <c r="C35" s="3">
        <v>70.05</v>
      </c>
      <c r="D35" s="4">
        <v>2830</v>
      </c>
    </row>
    <row r="36" spans="3:9" x14ac:dyDescent="0.25">
      <c r="C36" s="3">
        <v>99.15</v>
      </c>
      <c r="D36" s="4">
        <v>4184</v>
      </c>
    </row>
    <row r="37" spans="3:9" x14ac:dyDescent="0.25">
      <c r="C37" s="3">
        <v>96.01</v>
      </c>
      <c r="D37" s="4">
        <v>4023</v>
      </c>
    </row>
    <row r="38" spans="3:9" x14ac:dyDescent="0.25">
      <c r="C38" s="3">
        <v>95.95</v>
      </c>
      <c r="D38" s="4">
        <v>4235</v>
      </c>
    </row>
    <row r="39" spans="3:9" x14ac:dyDescent="0.25">
      <c r="C39" s="3">
        <v>98.05</v>
      </c>
      <c r="D39" s="4">
        <v>4025</v>
      </c>
    </row>
    <row r="40" spans="3:9" x14ac:dyDescent="0.25">
      <c r="C40" s="3">
        <v>95.72</v>
      </c>
      <c r="D40" s="4">
        <v>3999</v>
      </c>
    </row>
    <row r="41" spans="3:9" x14ac:dyDescent="0.25">
      <c r="C41" s="3">
        <v>77.87</v>
      </c>
      <c r="D41" s="4">
        <v>2819</v>
      </c>
    </row>
    <row r="42" spans="3:9" x14ac:dyDescent="0.25">
      <c r="C42" s="3">
        <v>78.150000000000006</v>
      </c>
      <c r="D42" s="4">
        <v>3087</v>
      </c>
    </row>
    <row r="43" spans="3:9" x14ac:dyDescent="0.25">
      <c r="C43" s="3">
        <v>54.57</v>
      </c>
      <c r="D43" s="4">
        <v>1964</v>
      </c>
    </row>
    <row r="44" spans="3:9" x14ac:dyDescent="0.25">
      <c r="C44" s="3">
        <v>57.83</v>
      </c>
      <c r="D44" s="4">
        <v>1946</v>
      </c>
    </row>
    <row r="45" spans="3:9" x14ac:dyDescent="0.25">
      <c r="C45" s="3">
        <v>75.12</v>
      </c>
      <c r="D45" s="4">
        <v>2821</v>
      </c>
      <c r="I45">
        <f>(46.453*100)-540.62</f>
        <v>4104.68</v>
      </c>
    </row>
    <row r="46" spans="3:9" x14ac:dyDescent="0.25">
      <c r="C46" s="3">
        <v>67.75</v>
      </c>
      <c r="D46" s="5">
        <v>2486</v>
      </c>
    </row>
    <row r="47" spans="3:9" x14ac:dyDescent="0.25">
      <c r="I47">
        <f>((3007*LN(100))-9946.3)</f>
        <v>3901.4467492661934</v>
      </c>
    </row>
    <row r="49" spans="9:9" x14ac:dyDescent="0.25">
      <c r="I49">
        <f>(((0.1353*100^2)+(27.241*100)+99.282))</f>
        <v>4176.3819999999996</v>
      </c>
    </row>
    <row r="52" spans="9:9" x14ac:dyDescent="0.25">
      <c r="I52">
        <f>727.16*EXP(0.018*100)</f>
        <v>4399.0616502225166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Exercício 1 </vt:lpstr>
      <vt:lpstr>Gabarito Exercício 1</vt:lpstr>
      <vt:lpstr>Exercício 2</vt:lpstr>
      <vt:lpstr>Gabarito Exercício 2</vt:lpstr>
      <vt:lpstr>Exercício 3</vt:lpstr>
      <vt:lpstr>Gabarito Exercício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2019-05-26T13:59:41Z</dcterms:created>
  <dcterms:modified xsi:type="dcterms:W3CDTF">2019-05-26T19:38:12Z</dcterms:modified>
</cp:coreProperties>
</file>