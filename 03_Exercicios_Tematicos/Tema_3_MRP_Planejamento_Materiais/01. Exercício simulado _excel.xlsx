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"/>
    </mc:Choice>
  </mc:AlternateContent>
  <xr:revisionPtr revIDLastSave="0" documentId="13_ncr:1_{1924028C-728C-4AC9-BE50-EE972E5D389D}" xr6:coauthVersionLast="43" xr6:coauthVersionMax="43" xr10:uidLastSave="{00000000-0000-0000-0000-000000000000}"/>
  <bookViews>
    <workbookView xWindow="-120" yWindow="-120" windowWidth="29040" windowHeight="15840" xr2:uid="{28561034-EAC2-466A-B7B2-AE31FAA33B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4" i="1" l="1"/>
  <c r="AB3" i="1"/>
  <c r="O4" i="1"/>
  <c r="O3" i="1"/>
  <c r="Z4" i="1"/>
  <c r="K4" i="1"/>
  <c r="K3" i="1"/>
  <c r="Y66" i="1"/>
  <c r="Y65" i="1"/>
  <c r="J65" i="1"/>
  <c r="J64" i="1"/>
  <c r="O64" i="1"/>
  <c r="V66" i="1"/>
  <c r="V65" i="1"/>
  <c r="O63" i="1"/>
  <c r="Z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rgb="FF5B9BD5"/>
      </top>
      <bottom style="medium">
        <color indexed="64"/>
      </bottom>
      <diagonal/>
    </border>
    <border>
      <left/>
      <right style="medium">
        <color indexed="64"/>
      </right>
      <top style="medium">
        <color rgb="FF5B9BD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5B9BD5"/>
      </top>
      <bottom style="medium">
        <color rgb="FF5B9BD5"/>
      </bottom>
      <diagonal/>
    </border>
    <border>
      <left/>
      <right style="medium">
        <color indexed="64"/>
      </right>
      <top style="medium">
        <color rgb="FF5B9BD5"/>
      </top>
      <bottom style="medium">
        <color rgb="FF5B9BD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1: vendas em função de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923029065811217E-2"/>
                  <c:y val="-2.86697213695745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4.1722873529697675E-2"/>
                  <c:y val="7.68272609991547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Planilha1!$E$6:$E$28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Planilha1!$F$6:$F$28</c:f>
              <c:numCache>
                <c:formatCode>General</c:formatCode>
                <c:ptCount val="23"/>
                <c:pt idx="0">
                  <c:v>5.89</c:v>
                </c:pt>
                <c:pt idx="1">
                  <c:v>8.2799999999999994</c:v>
                </c:pt>
                <c:pt idx="2">
                  <c:v>13.17</c:v>
                </c:pt>
                <c:pt idx="3">
                  <c:v>25.97</c:v>
                </c:pt>
                <c:pt idx="4">
                  <c:v>33.28</c:v>
                </c:pt>
                <c:pt idx="5">
                  <c:v>39.380000000000003</c:v>
                </c:pt>
                <c:pt idx="6">
                  <c:v>39.97</c:v>
                </c:pt>
                <c:pt idx="7">
                  <c:v>39.49</c:v>
                </c:pt>
                <c:pt idx="8">
                  <c:v>40.28</c:v>
                </c:pt>
                <c:pt idx="9">
                  <c:v>42.68</c:v>
                </c:pt>
                <c:pt idx="10">
                  <c:v>43.57</c:v>
                </c:pt>
                <c:pt idx="11">
                  <c:v>45.98</c:v>
                </c:pt>
                <c:pt idx="12">
                  <c:v>51.37</c:v>
                </c:pt>
                <c:pt idx="13">
                  <c:v>54.39</c:v>
                </c:pt>
                <c:pt idx="14">
                  <c:v>55.17</c:v>
                </c:pt>
                <c:pt idx="15">
                  <c:v>55.96</c:v>
                </c:pt>
                <c:pt idx="16">
                  <c:v>57.29</c:v>
                </c:pt>
                <c:pt idx="17">
                  <c:v>58.18</c:v>
                </c:pt>
                <c:pt idx="18">
                  <c:v>58.29</c:v>
                </c:pt>
                <c:pt idx="19">
                  <c:v>58.58</c:v>
                </c:pt>
                <c:pt idx="20">
                  <c:v>58.88</c:v>
                </c:pt>
                <c:pt idx="21">
                  <c:v>59.69</c:v>
                </c:pt>
                <c:pt idx="22">
                  <c:v>59.99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75-4C41-BAEF-E27F9DE8F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061400"/>
        <c:axId val="452062384"/>
      </c:scatterChart>
      <c:valAx>
        <c:axId val="452061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062384"/>
        <c:crosses val="autoZero"/>
        <c:crossBetween val="midCat"/>
      </c:valAx>
      <c:valAx>
        <c:axId val="45206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061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Vendas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33395048591899"/>
                  <c:y val="-5.51210428930520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914462296942612"/>
                  <c:y val="-6.5409084561507088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Planilha1!$E$6:$E$28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Planilha1!$F$6:$F$28</c:f>
              <c:numCache>
                <c:formatCode>General</c:formatCode>
                <c:ptCount val="23"/>
                <c:pt idx="0">
                  <c:v>5.89</c:v>
                </c:pt>
                <c:pt idx="1">
                  <c:v>8.2799999999999994</c:v>
                </c:pt>
                <c:pt idx="2">
                  <c:v>13.17</c:v>
                </c:pt>
                <c:pt idx="3">
                  <c:v>25.97</c:v>
                </c:pt>
                <c:pt idx="4">
                  <c:v>33.28</c:v>
                </c:pt>
                <c:pt idx="5">
                  <c:v>39.380000000000003</c:v>
                </c:pt>
                <c:pt idx="6">
                  <c:v>39.97</c:v>
                </c:pt>
                <c:pt idx="7">
                  <c:v>39.49</c:v>
                </c:pt>
                <c:pt idx="8">
                  <c:v>40.28</c:v>
                </c:pt>
                <c:pt idx="9">
                  <c:v>42.68</c:v>
                </c:pt>
                <c:pt idx="10">
                  <c:v>43.57</c:v>
                </c:pt>
                <c:pt idx="11">
                  <c:v>45.98</c:v>
                </c:pt>
                <c:pt idx="12">
                  <c:v>51.37</c:v>
                </c:pt>
                <c:pt idx="13">
                  <c:v>54.39</c:v>
                </c:pt>
                <c:pt idx="14">
                  <c:v>55.17</c:v>
                </c:pt>
                <c:pt idx="15">
                  <c:v>55.96</c:v>
                </c:pt>
                <c:pt idx="16">
                  <c:v>57.29</c:v>
                </c:pt>
                <c:pt idx="17">
                  <c:v>58.18</c:v>
                </c:pt>
                <c:pt idx="18">
                  <c:v>58.29</c:v>
                </c:pt>
                <c:pt idx="19">
                  <c:v>58.58</c:v>
                </c:pt>
                <c:pt idx="20">
                  <c:v>58.88</c:v>
                </c:pt>
                <c:pt idx="21">
                  <c:v>59.69</c:v>
                </c:pt>
                <c:pt idx="22">
                  <c:v>59.99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8-47EE-B1F1-E287DAE56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534200"/>
        <c:axId val="449642968"/>
      </c:scatterChart>
      <c:valAx>
        <c:axId val="445534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642968"/>
        <c:crosses val="autoZero"/>
        <c:crossBetween val="midCat"/>
      </c:valAx>
      <c:valAx>
        <c:axId val="44964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5534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2: vendas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875751839697135"/>
                  <c:y val="-1.3780032372193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8.3827018066553918E-2"/>
                  <c:y val="0.17105696512709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Planilha1!$E$6:$E$28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Planilha1!$G$6:$G$28</c:f>
              <c:numCache>
                <c:formatCode>General</c:formatCode>
                <c:ptCount val="23"/>
                <c:pt idx="0">
                  <c:v>5.31</c:v>
                </c:pt>
                <c:pt idx="1">
                  <c:v>7.92</c:v>
                </c:pt>
                <c:pt idx="2">
                  <c:v>14.93</c:v>
                </c:pt>
                <c:pt idx="3">
                  <c:v>23.84</c:v>
                </c:pt>
                <c:pt idx="4">
                  <c:v>32.53</c:v>
                </c:pt>
                <c:pt idx="5">
                  <c:v>37.85</c:v>
                </c:pt>
                <c:pt idx="6">
                  <c:v>38.82</c:v>
                </c:pt>
                <c:pt idx="7">
                  <c:v>39.130000000000003</c:v>
                </c:pt>
                <c:pt idx="8">
                  <c:v>40.15</c:v>
                </c:pt>
                <c:pt idx="9">
                  <c:v>42.46</c:v>
                </c:pt>
                <c:pt idx="10">
                  <c:v>42.91</c:v>
                </c:pt>
                <c:pt idx="11">
                  <c:v>45.11</c:v>
                </c:pt>
                <c:pt idx="12">
                  <c:v>51.18</c:v>
                </c:pt>
                <c:pt idx="13">
                  <c:v>53.96</c:v>
                </c:pt>
                <c:pt idx="14">
                  <c:v>54.75</c:v>
                </c:pt>
                <c:pt idx="15">
                  <c:v>55.76</c:v>
                </c:pt>
                <c:pt idx="16">
                  <c:v>57.91</c:v>
                </c:pt>
                <c:pt idx="17">
                  <c:v>57.03</c:v>
                </c:pt>
                <c:pt idx="18">
                  <c:v>57.11</c:v>
                </c:pt>
                <c:pt idx="19">
                  <c:v>57.12</c:v>
                </c:pt>
                <c:pt idx="20">
                  <c:v>56.42</c:v>
                </c:pt>
                <c:pt idx="21">
                  <c:v>55.91</c:v>
                </c:pt>
                <c:pt idx="22">
                  <c:v>54.89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AB-434C-97F5-E2EFF06FC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505264"/>
        <c:axId val="555505592"/>
      </c:scatterChart>
      <c:valAx>
        <c:axId val="55550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505592"/>
        <c:crosses val="autoZero"/>
        <c:crossBetween val="midCat"/>
      </c:valAx>
      <c:valAx>
        <c:axId val="55550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50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Empresa 2 Vendas em função do tempo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1408037200301817"/>
                  <c:y val="-2.62615323498444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3.8990999577597505E-4"/>
                  <c:y val="-6.144798994718940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Planilha1!$E$6:$E$28</c:f>
              <c:numCache>
                <c:formatCode>General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xVal>
          <c:yVal>
            <c:numRef>
              <c:f>Planilha1!$G$6:$G$28</c:f>
              <c:numCache>
                <c:formatCode>General</c:formatCode>
                <c:ptCount val="23"/>
                <c:pt idx="0">
                  <c:v>5.31</c:v>
                </c:pt>
                <c:pt idx="1">
                  <c:v>7.92</c:v>
                </c:pt>
                <c:pt idx="2">
                  <c:v>14.93</c:v>
                </c:pt>
                <c:pt idx="3">
                  <c:v>23.84</c:v>
                </c:pt>
                <c:pt idx="4">
                  <c:v>32.53</c:v>
                </c:pt>
                <c:pt idx="5">
                  <c:v>37.85</c:v>
                </c:pt>
                <c:pt idx="6">
                  <c:v>38.82</c:v>
                </c:pt>
                <c:pt idx="7">
                  <c:v>39.130000000000003</c:v>
                </c:pt>
                <c:pt idx="8">
                  <c:v>40.15</c:v>
                </c:pt>
                <c:pt idx="9">
                  <c:v>42.46</c:v>
                </c:pt>
                <c:pt idx="10">
                  <c:v>42.91</c:v>
                </c:pt>
                <c:pt idx="11">
                  <c:v>45.11</c:v>
                </c:pt>
                <c:pt idx="12">
                  <c:v>51.18</c:v>
                </c:pt>
                <c:pt idx="13">
                  <c:v>53.96</c:v>
                </c:pt>
                <c:pt idx="14">
                  <c:v>54.75</c:v>
                </c:pt>
                <c:pt idx="15">
                  <c:v>55.76</c:v>
                </c:pt>
                <c:pt idx="16">
                  <c:v>57.91</c:v>
                </c:pt>
                <c:pt idx="17">
                  <c:v>57.03</c:v>
                </c:pt>
                <c:pt idx="18">
                  <c:v>57.11</c:v>
                </c:pt>
                <c:pt idx="19">
                  <c:v>57.12</c:v>
                </c:pt>
                <c:pt idx="20">
                  <c:v>56.42</c:v>
                </c:pt>
                <c:pt idx="21">
                  <c:v>55.91</c:v>
                </c:pt>
                <c:pt idx="22">
                  <c:v>54.89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1-4FE6-A51B-C7930691A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034176"/>
        <c:axId val="452038440"/>
      </c:scatterChart>
      <c:valAx>
        <c:axId val="4520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038440"/>
        <c:crosses val="autoZero"/>
        <c:crossBetween val="midCat"/>
      </c:valAx>
      <c:valAx>
        <c:axId val="45203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03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4</xdr:row>
      <xdr:rowOff>114300</xdr:rowOff>
    </xdr:from>
    <xdr:to>
      <xdr:col>18</xdr:col>
      <xdr:colOff>228600</xdr:colOff>
      <xdr:row>33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F3DA1A-AE0C-4DC2-9D80-E7A17AD84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371475</xdr:colOff>
      <xdr:row>5</xdr:row>
      <xdr:rowOff>204787</xdr:rowOff>
    </xdr:from>
    <xdr:to>
      <xdr:col>28</xdr:col>
      <xdr:colOff>523875</xdr:colOff>
      <xdr:row>30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F16427-6564-49FE-824C-85A1250AD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438149</xdr:colOff>
      <xdr:row>36</xdr:row>
      <xdr:rowOff>52386</xdr:rowOff>
    </xdr:from>
    <xdr:to>
      <xdr:col>18</xdr:col>
      <xdr:colOff>428624</xdr:colOff>
      <xdr:row>60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7D2F48-FC72-4F9A-9927-FDE3A1028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466724</xdr:colOff>
      <xdr:row>37</xdr:row>
      <xdr:rowOff>157162</xdr:rowOff>
    </xdr:from>
    <xdr:to>
      <xdr:col>31</xdr:col>
      <xdr:colOff>76199</xdr:colOff>
      <xdr:row>60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ABAB312-EF4B-4053-8FF9-5068B1C82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CCE7-E4BD-4EE0-B29C-FD0958DFF191}">
  <dimension ref="E3:AB66"/>
  <sheetViews>
    <sheetView tabSelected="1" topLeftCell="C1" workbookViewId="0">
      <selection activeCell="Y66" sqref="Y66"/>
    </sheetView>
  </sheetViews>
  <sheetFormatPr defaultRowHeight="15" x14ac:dyDescent="0.25"/>
  <sheetData>
    <row r="3" spans="5:28" x14ac:dyDescent="0.25">
      <c r="K3">
        <f>((LN(24)*19.861))-0.8352</f>
        <v>62.284127124540554</v>
      </c>
      <c r="O3">
        <f>(2.2705*24)+16.482</f>
        <v>70.974000000000004</v>
      </c>
      <c r="Z3">
        <f>(((-0.1394*24^2)+(5.6152*24)+2.5453))</f>
        <v>57.015699999999981</v>
      </c>
      <c r="AB3">
        <f>((15.459*EXP(0.0754*24)))</f>
        <v>94.423629848016105</v>
      </c>
    </row>
    <row r="4" spans="5:28" x14ac:dyDescent="0.25">
      <c r="K4">
        <f>((LN(25)*19.861))-0.8352</f>
        <v>63.094892757707335</v>
      </c>
      <c r="O4">
        <f>(2.2705*25)+16.482</f>
        <v>73.244500000000002</v>
      </c>
      <c r="Z4">
        <f>(((-0.1394*25^2)+(5.6152*25)+2.5453))</f>
        <v>55.800299999999993</v>
      </c>
      <c r="AB4">
        <f>((15.459*EXP(0.0754*25)))</f>
        <v>101.81845331911092</v>
      </c>
    </row>
    <row r="5" spans="5:28" ht="15.75" thickBot="1" x14ac:dyDescent="0.3"/>
    <row r="6" spans="5:28" ht="19.5" thickBot="1" x14ac:dyDescent="0.3">
      <c r="E6" s="1">
        <v>1</v>
      </c>
      <c r="F6" s="2">
        <v>5.89</v>
      </c>
      <c r="G6" s="2">
        <v>5.31</v>
      </c>
    </row>
    <row r="7" spans="5:28" ht="19.5" thickBot="1" x14ac:dyDescent="0.3">
      <c r="E7" s="3">
        <v>2</v>
      </c>
      <c r="F7" s="4">
        <v>8.2799999999999994</v>
      </c>
      <c r="G7" s="4">
        <v>7.92</v>
      </c>
    </row>
    <row r="8" spans="5:28" ht="19.5" thickBot="1" x14ac:dyDescent="0.3">
      <c r="E8" s="3">
        <v>3</v>
      </c>
      <c r="F8" s="4">
        <v>13.17</v>
      </c>
      <c r="G8" s="4">
        <v>14.93</v>
      </c>
    </row>
    <row r="9" spans="5:28" ht="19.5" thickBot="1" x14ac:dyDescent="0.3">
      <c r="E9" s="3">
        <v>4</v>
      </c>
      <c r="F9" s="4">
        <v>25.97</v>
      </c>
      <c r="G9" s="4">
        <v>23.84</v>
      </c>
    </row>
    <row r="10" spans="5:28" ht="19.5" thickBot="1" x14ac:dyDescent="0.3">
      <c r="E10" s="3">
        <v>5</v>
      </c>
      <c r="F10" s="4">
        <v>33.28</v>
      </c>
      <c r="G10" s="4">
        <v>32.53</v>
      </c>
    </row>
    <row r="11" spans="5:28" ht="19.5" thickBot="1" x14ac:dyDescent="0.3">
      <c r="E11" s="3">
        <v>6</v>
      </c>
      <c r="F11" s="4">
        <v>39.380000000000003</v>
      </c>
      <c r="G11" s="4">
        <v>37.85</v>
      </c>
    </row>
    <row r="12" spans="5:28" ht="19.5" thickBot="1" x14ac:dyDescent="0.3">
      <c r="E12" s="3">
        <v>7</v>
      </c>
      <c r="F12" s="4">
        <v>39.97</v>
      </c>
      <c r="G12" s="4">
        <v>38.82</v>
      </c>
    </row>
    <row r="13" spans="5:28" ht="19.5" thickBot="1" x14ac:dyDescent="0.3">
      <c r="E13" s="3">
        <v>8</v>
      </c>
      <c r="F13" s="4">
        <v>39.49</v>
      </c>
      <c r="G13" s="4">
        <v>39.130000000000003</v>
      </c>
    </row>
    <row r="14" spans="5:28" ht="19.5" thickBot="1" x14ac:dyDescent="0.3">
      <c r="E14" s="3">
        <v>9</v>
      </c>
      <c r="F14" s="4">
        <v>40.28</v>
      </c>
      <c r="G14" s="4">
        <v>40.15</v>
      </c>
    </row>
    <row r="15" spans="5:28" ht="19.5" thickBot="1" x14ac:dyDescent="0.3">
      <c r="E15" s="3">
        <v>10</v>
      </c>
      <c r="F15" s="4">
        <v>42.68</v>
      </c>
      <c r="G15" s="4">
        <v>42.46</v>
      </c>
    </row>
    <row r="16" spans="5:28" ht="19.5" thickBot="1" x14ac:dyDescent="0.3">
      <c r="E16" s="3">
        <v>11</v>
      </c>
      <c r="F16" s="4">
        <v>43.57</v>
      </c>
      <c r="G16" s="4">
        <v>42.91</v>
      </c>
    </row>
    <row r="17" spans="5:7" ht="19.5" thickBot="1" x14ac:dyDescent="0.3">
      <c r="E17" s="3">
        <v>12</v>
      </c>
      <c r="F17" s="4">
        <v>45.98</v>
      </c>
      <c r="G17" s="4">
        <v>45.11</v>
      </c>
    </row>
    <row r="18" spans="5:7" ht="19.5" thickBot="1" x14ac:dyDescent="0.3">
      <c r="E18" s="3">
        <v>13</v>
      </c>
      <c r="F18" s="4">
        <v>51.37</v>
      </c>
      <c r="G18" s="4">
        <v>51.18</v>
      </c>
    </row>
    <row r="19" spans="5:7" ht="19.5" thickBot="1" x14ac:dyDescent="0.3">
      <c r="E19" s="3">
        <v>14</v>
      </c>
      <c r="F19" s="4">
        <v>54.39</v>
      </c>
      <c r="G19" s="4">
        <v>53.96</v>
      </c>
    </row>
    <row r="20" spans="5:7" ht="19.5" thickBot="1" x14ac:dyDescent="0.3">
      <c r="E20" s="3">
        <v>15</v>
      </c>
      <c r="F20" s="4">
        <v>55.17</v>
      </c>
      <c r="G20" s="4">
        <v>54.75</v>
      </c>
    </row>
    <row r="21" spans="5:7" ht="19.5" thickBot="1" x14ac:dyDescent="0.3">
      <c r="E21" s="3">
        <v>16</v>
      </c>
      <c r="F21" s="4">
        <v>55.96</v>
      </c>
      <c r="G21" s="4">
        <v>55.76</v>
      </c>
    </row>
    <row r="22" spans="5:7" ht="19.5" thickBot="1" x14ac:dyDescent="0.3">
      <c r="E22" s="3">
        <v>17</v>
      </c>
      <c r="F22" s="4">
        <v>57.29</v>
      </c>
      <c r="G22" s="4">
        <v>57.91</v>
      </c>
    </row>
    <row r="23" spans="5:7" ht="19.5" thickBot="1" x14ac:dyDescent="0.3">
      <c r="E23" s="3">
        <v>18</v>
      </c>
      <c r="F23" s="4">
        <v>58.18</v>
      </c>
      <c r="G23" s="4">
        <v>57.03</v>
      </c>
    </row>
    <row r="24" spans="5:7" ht="19.5" thickBot="1" x14ac:dyDescent="0.3">
      <c r="E24" s="3">
        <v>19</v>
      </c>
      <c r="F24" s="4">
        <v>58.29</v>
      </c>
      <c r="G24" s="4">
        <v>57.11</v>
      </c>
    </row>
    <row r="25" spans="5:7" ht="19.5" thickBot="1" x14ac:dyDescent="0.3">
      <c r="E25" s="3">
        <v>20</v>
      </c>
      <c r="F25" s="4">
        <v>58.58</v>
      </c>
      <c r="G25" s="4">
        <v>57.12</v>
      </c>
    </row>
    <row r="26" spans="5:7" ht="19.5" thickBot="1" x14ac:dyDescent="0.3">
      <c r="E26" s="3">
        <v>21</v>
      </c>
      <c r="F26" s="4">
        <v>58.88</v>
      </c>
      <c r="G26" s="4">
        <v>56.42</v>
      </c>
    </row>
    <row r="27" spans="5:7" ht="19.5" thickBot="1" x14ac:dyDescent="0.3">
      <c r="E27" s="5">
        <v>22</v>
      </c>
      <c r="F27" s="6">
        <v>59.69</v>
      </c>
      <c r="G27" s="6">
        <v>55.91</v>
      </c>
    </row>
    <row r="28" spans="5:7" ht="19.5" thickBot="1" x14ac:dyDescent="0.3">
      <c r="E28" s="7">
        <v>23</v>
      </c>
      <c r="F28" s="8">
        <v>59.99</v>
      </c>
      <c r="G28" s="8">
        <v>54.89</v>
      </c>
    </row>
    <row r="63" spans="10:15" x14ac:dyDescent="0.25">
      <c r="O63">
        <f>(((19.21*LN(24))-0.3849))</f>
        <v>60.665514080984039</v>
      </c>
    </row>
    <row r="64" spans="10:15" x14ac:dyDescent="0.25">
      <c r="J64">
        <f>(2.1637*24)+16.781</f>
        <v>68.709800000000001</v>
      </c>
      <c r="O64">
        <f>(((19.21*LN(25))-0.3849))</f>
        <v>61.449704595718131</v>
      </c>
    </row>
    <row r="65" spans="10:25" x14ac:dyDescent="0.25">
      <c r="J65">
        <f>(2.1637*25)+16.781</f>
        <v>70.873500000000007</v>
      </c>
      <c r="V65">
        <f>(((-0.1566*24^2)+(5.9208*24)+1.1246))</f>
        <v>53.022199999999998</v>
      </c>
      <c r="Y65">
        <f>(15.24*EXP(0.0747*24))</f>
        <v>91.535195652200343</v>
      </c>
    </row>
    <row r="66" spans="10:25" x14ac:dyDescent="0.25">
      <c r="V66">
        <f>(((-0.1566*25^2)+(5.9208*25)+1.1246))</f>
        <v>51.269599999999983</v>
      </c>
      <c r="Y66">
        <f>(15.24*EXP(0.0747*25))</f>
        <v>98.634741780089286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2019-05-02T20:05:48Z</dcterms:created>
  <dcterms:modified xsi:type="dcterms:W3CDTF">2019-05-02T21:04:54Z</dcterms:modified>
</cp:coreProperties>
</file>